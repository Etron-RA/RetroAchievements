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ropbox\RetroArch\Achievements\~Hack~ Kirby's Halloween Adventure (NES)\Docs\"/>
    </mc:Choice>
  </mc:AlternateContent>
  <bookViews>
    <workbookView xWindow="-105" yWindow="-105" windowWidth="23250" windowHeight="12570" tabRatio="635"/>
  </bookViews>
  <sheets>
    <sheet name="Achievements" sheetId="2" r:id="rId1"/>
    <sheet name="Extras" sheetId="15" r:id="rId2"/>
    <sheet name="Leaderboards" sheetId="27" r:id="rId3"/>
    <sheet name="Levels" sheetId="50" r:id="rId4"/>
    <sheet name="Checklist" sheetId="49" r:id="rId5"/>
    <sheet name="Notes" sheetId="51" r:id="rId6"/>
    <sheet name="Text" sheetId="11" r:id="rId7"/>
    <sheet name="Stats" sheetId="7" r:id="rId8"/>
    <sheet name="Game Dec" sheetId="16" state="hidden" r:id="rId9"/>
  </sheets>
  <functionGroups builtInGroupCount="18"/>
  <externalReferences>
    <externalReference r:id="rId10"/>
  </externalReferences>
  <definedNames>
    <definedName name="_xlnm._FilterDatabase" localSheetId="0" hidden="1">Achievements!$B$1:$H$243</definedName>
    <definedName name="_xlnm._FilterDatabase" localSheetId="4" hidden="1">Checklist!$A$1:$I$1</definedName>
    <definedName name="_xlnm._FilterDatabase" localSheetId="1" hidden="1">Extras!$A$1:$F$57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50" l="1"/>
  <c r="H33" i="50"/>
  <c r="F3" i="50" l="1"/>
  <c r="G3" i="50"/>
  <c r="F4" i="50"/>
  <c r="G4" i="50"/>
  <c r="F5" i="50"/>
  <c r="G5" i="50"/>
  <c r="F6" i="50"/>
  <c r="G6" i="50"/>
  <c r="F7" i="50"/>
  <c r="G7" i="50"/>
  <c r="F8" i="50"/>
  <c r="G8" i="50"/>
  <c r="F9" i="50"/>
  <c r="G9" i="50"/>
  <c r="F10" i="50"/>
  <c r="G10" i="50"/>
  <c r="F11" i="50"/>
  <c r="G11" i="50"/>
  <c r="F12" i="50"/>
  <c r="G12" i="50"/>
  <c r="F13" i="50"/>
  <c r="G13" i="50"/>
  <c r="F14" i="50"/>
  <c r="G14" i="50"/>
  <c r="F15" i="50"/>
  <c r="G15" i="50"/>
  <c r="F16" i="50"/>
  <c r="G16" i="50"/>
  <c r="F17" i="50"/>
  <c r="G17" i="50"/>
  <c r="F18" i="50"/>
  <c r="G18" i="50"/>
  <c r="F19" i="50"/>
  <c r="G19" i="50"/>
  <c r="F20" i="50"/>
  <c r="G20" i="50"/>
  <c r="F21" i="50"/>
  <c r="G21" i="50"/>
  <c r="F22" i="50"/>
  <c r="G22" i="50"/>
  <c r="F23" i="50"/>
  <c r="G23" i="50"/>
  <c r="F24" i="50"/>
  <c r="G24" i="50"/>
  <c r="F25" i="50"/>
  <c r="G25" i="50"/>
  <c r="F26" i="50"/>
  <c r="G26" i="50"/>
  <c r="F27" i="50"/>
  <c r="G27" i="50"/>
  <c r="F28" i="50"/>
  <c r="G28" i="50"/>
  <c r="F29" i="50"/>
  <c r="G29" i="50"/>
  <c r="F30" i="50"/>
  <c r="G30" i="50"/>
  <c r="F31" i="50"/>
  <c r="G31" i="50"/>
  <c r="F32" i="50"/>
  <c r="G32" i="50"/>
  <c r="F33" i="50"/>
  <c r="G33" i="50"/>
  <c r="F34" i="50"/>
  <c r="G34" i="50"/>
  <c r="F35" i="50"/>
  <c r="G35" i="50"/>
  <c r="F36" i="50"/>
  <c r="G36" i="50"/>
  <c r="F37" i="50"/>
  <c r="G37" i="50"/>
  <c r="F38" i="50"/>
  <c r="G38" i="50"/>
  <c r="F39" i="50"/>
  <c r="G39" i="50"/>
  <c r="F40" i="50"/>
  <c r="G40" i="50"/>
  <c r="F41" i="50"/>
  <c r="G41" i="50"/>
  <c r="F42" i="50"/>
  <c r="G42" i="50"/>
  <c r="F43" i="50"/>
  <c r="G43" i="50"/>
  <c r="F44" i="50"/>
  <c r="G44" i="50"/>
  <c r="F45" i="50"/>
  <c r="G45" i="50"/>
  <c r="F46" i="50"/>
  <c r="G46" i="50"/>
  <c r="F47" i="50"/>
  <c r="G47" i="50"/>
  <c r="F48" i="50"/>
  <c r="G48" i="50"/>
  <c r="F49" i="50"/>
  <c r="G2" i="50"/>
  <c r="F2" i="50"/>
  <c r="A42" i="51"/>
  <c r="A44" i="51"/>
  <c r="A41" i="51"/>
  <c r="A43" i="51"/>
  <c r="A45" i="51"/>
  <c r="A2" i="51"/>
  <c r="A4" i="51"/>
  <c r="A6" i="51"/>
  <c r="A8" i="51"/>
  <c r="A10" i="51"/>
  <c r="A12" i="51"/>
  <c r="A14" i="51"/>
  <c r="A16" i="51"/>
  <c r="A18" i="51"/>
  <c r="A20" i="51"/>
  <c r="A32" i="51"/>
  <c r="A34" i="51"/>
  <c r="A36" i="51"/>
  <c r="A38" i="51"/>
  <c r="A40" i="51"/>
  <c r="A3" i="51"/>
  <c r="A5" i="51"/>
  <c r="A7" i="51"/>
  <c r="A9" i="51"/>
  <c r="A11" i="51"/>
  <c r="A13" i="51"/>
  <c r="A15" i="51"/>
  <c r="A17" i="51"/>
  <c r="A19" i="51"/>
  <c r="A25" i="51"/>
  <c r="A33" i="51"/>
  <c r="A35" i="51"/>
  <c r="A37" i="51"/>
  <c r="A1" i="51"/>
  <c r="A3" i="50"/>
  <c r="A5" i="50"/>
  <c r="A7" i="50"/>
  <c r="A9" i="50"/>
  <c r="A11" i="50"/>
  <c r="A13" i="50"/>
  <c r="A15" i="50"/>
  <c r="A17" i="50"/>
  <c r="A19" i="50"/>
  <c r="A21" i="50"/>
  <c r="A33" i="50"/>
  <c r="A35" i="50"/>
  <c r="A37" i="50"/>
  <c r="A39" i="50"/>
  <c r="A41" i="50"/>
  <c r="A43" i="50"/>
  <c r="A45" i="50"/>
  <c r="A47" i="50"/>
  <c r="A49" i="50"/>
  <c r="A4" i="50"/>
  <c r="A6" i="50"/>
  <c r="A8" i="50"/>
  <c r="A10" i="50"/>
  <c r="A12" i="50"/>
  <c r="A14" i="50"/>
  <c r="A16" i="50"/>
  <c r="A18" i="50"/>
  <c r="A20" i="50"/>
  <c r="A26" i="50"/>
  <c r="A34" i="50"/>
  <c r="A36" i="50"/>
  <c r="A38" i="50"/>
  <c r="A42" i="50"/>
  <c r="A44" i="50"/>
  <c r="A46" i="50"/>
  <c r="A48" i="50"/>
  <c r="A2" i="50"/>
  <c r="A39" i="51"/>
  <c r="A40" i="50"/>
  <c r="A21" i="51"/>
  <c r="A22" i="50"/>
  <c r="A31" i="51"/>
  <c r="A32" i="50"/>
  <c r="A30" i="51"/>
  <c r="A31" i="50"/>
  <c r="A29" i="51"/>
  <c r="A30" i="50"/>
  <c r="A28" i="51"/>
  <c r="A29" i="50"/>
  <c r="A27" i="51"/>
  <c r="A28" i="50"/>
  <c r="A26" i="51"/>
  <c r="A27" i="50"/>
  <c r="A24" i="51"/>
  <c r="A25" i="50"/>
  <c r="A24" i="50"/>
  <c r="A23" i="51"/>
  <c r="A22" i="51"/>
  <c r="A23" i="50"/>
  <c r="A101" i="11"/>
  <c r="A117" i="11"/>
  <c r="A133" i="11"/>
  <c r="A149" i="11"/>
  <c r="A165" i="11"/>
  <c r="A181" i="11"/>
  <c r="A102" i="11"/>
  <c r="A118" i="11"/>
  <c r="A134" i="11"/>
  <c r="A150" i="11"/>
  <c r="A166" i="11"/>
  <c r="A182" i="11"/>
  <c r="A107" i="11"/>
  <c r="A123" i="11"/>
  <c r="A139" i="11"/>
  <c r="A155" i="11"/>
  <c r="A171" i="11"/>
  <c r="A187" i="11"/>
  <c r="A108" i="11"/>
  <c r="A124" i="11"/>
  <c r="A140" i="11"/>
  <c r="A156" i="11"/>
  <c r="A172" i="11"/>
  <c r="A188" i="11"/>
  <c r="A105" i="11"/>
  <c r="A121" i="11"/>
  <c r="A137" i="11"/>
  <c r="A153" i="11"/>
  <c r="A169" i="11"/>
  <c r="A185" i="11"/>
  <c r="A106" i="11"/>
  <c r="A122" i="11"/>
  <c r="A138" i="11"/>
  <c r="A154" i="11"/>
  <c r="A170" i="11"/>
  <c r="A186" i="11"/>
  <c r="A111" i="11"/>
  <c r="A127" i="11"/>
  <c r="A143" i="11"/>
  <c r="A159" i="11"/>
  <c r="A175" i="11"/>
  <c r="A191" i="11"/>
  <c r="A112" i="11"/>
  <c r="A128" i="11"/>
  <c r="A144" i="11"/>
  <c r="A160" i="11"/>
  <c r="A176" i="11"/>
  <c r="A192" i="11"/>
  <c r="A109" i="11"/>
  <c r="A125" i="11"/>
  <c r="A141" i="11"/>
  <c r="A157" i="11"/>
  <c r="A173" i="11"/>
  <c r="A189" i="11"/>
  <c r="A110" i="11"/>
  <c r="A126" i="11"/>
  <c r="A142" i="11"/>
  <c r="A158" i="11"/>
  <c r="A174" i="11"/>
  <c r="A190" i="11"/>
  <c r="A115" i="11"/>
  <c r="A131" i="11"/>
  <c r="A147" i="11"/>
  <c r="A163" i="11"/>
  <c r="A179" i="11"/>
  <c r="A195" i="11"/>
  <c r="A116" i="11"/>
  <c r="A132" i="11"/>
  <c r="A148" i="11"/>
  <c r="A164" i="11"/>
  <c r="A180" i="11"/>
  <c r="A196" i="11"/>
  <c r="A113" i="11"/>
  <c r="A129" i="11"/>
  <c r="A145" i="11"/>
  <c r="A161" i="11"/>
  <c r="A177" i="11"/>
  <c r="A193" i="11"/>
  <c r="A114" i="11"/>
  <c r="A130" i="11"/>
  <c r="A146" i="11"/>
  <c r="A162" i="11"/>
  <c r="A178" i="11"/>
  <c r="A194" i="11"/>
  <c r="A119" i="11"/>
  <c r="A135" i="11"/>
  <c r="A151" i="11"/>
  <c r="A167" i="11"/>
  <c r="A183" i="11"/>
  <c r="A104" i="11"/>
  <c r="A120" i="11"/>
  <c r="A136" i="11"/>
  <c r="A152" i="11"/>
  <c r="A168" i="11"/>
  <c r="A184" i="11"/>
  <c r="A103" i="11"/>
  <c r="A18" i="49" l="1"/>
  <c r="B18" i="49"/>
  <c r="C18" i="49"/>
  <c r="I18" i="49"/>
  <c r="A19" i="49"/>
  <c r="B19" i="49"/>
  <c r="C19" i="49"/>
  <c r="I19" i="49"/>
  <c r="A20" i="49"/>
  <c r="B20" i="49"/>
  <c r="C20" i="49"/>
  <c r="I20" i="49"/>
  <c r="A21" i="49"/>
  <c r="B21" i="49"/>
  <c r="C21" i="49"/>
  <c r="I21" i="49"/>
  <c r="A22" i="49"/>
  <c r="B22" i="49"/>
  <c r="C22" i="49"/>
  <c r="I22" i="49"/>
  <c r="A23" i="49"/>
  <c r="B23" i="49"/>
  <c r="C23" i="49"/>
  <c r="I23" i="49"/>
  <c r="A24" i="49"/>
  <c r="B24" i="49"/>
  <c r="C24" i="49"/>
  <c r="I24" i="49"/>
  <c r="A25" i="49"/>
  <c r="B25" i="49"/>
  <c r="C25" i="49"/>
  <c r="I25" i="49"/>
  <c r="A26" i="49"/>
  <c r="B26" i="49"/>
  <c r="C26" i="49"/>
  <c r="I26" i="49"/>
  <c r="A27" i="49"/>
  <c r="B27" i="49"/>
  <c r="C27" i="49"/>
  <c r="I27" i="49"/>
  <c r="A28" i="49"/>
  <c r="B28" i="49"/>
  <c r="C28" i="49"/>
  <c r="I28" i="49"/>
  <c r="A29" i="49"/>
  <c r="B29" i="49"/>
  <c r="C29" i="49"/>
  <c r="I29" i="49"/>
  <c r="A30" i="49"/>
  <c r="B30" i="49"/>
  <c r="C30" i="49"/>
  <c r="I30" i="49"/>
  <c r="A31" i="49"/>
  <c r="B31" i="49"/>
  <c r="C31" i="49"/>
  <c r="I31" i="49"/>
  <c r="A32" i="49"/>
  <c r="B32" i="49"/>
  <c r="C32" i="49"/>
  <c r="I32" i="49"/>
  <c r="A33" i="49"/>
  <c r="B33" i="49"/>
  <c r="C33" i="49"/>
  <c r="I33" i="49"/>
  <c r="A34" i="49"/>
  <c r="B34" i="49"/>
  <c r="C34" i="49"/>
  <c r="I34" i="49"/>
  <c r="A35" i="49"/>
  <c r="B35" i="49"/>
  <c r="C35" i="49"/>
  <c r="I35" i="49"/>
  <c r="A36" i="49"/>
  <c r="B36" i="49"/>
  <c r="C36" i="49"/>
  <c r="I36" i="49"/>
  <c r="A37" i="49"/>
  <c r="B37" i="49"/>
  <c r="C37" i="49"/>
  <c r="I37" i="49"/>
  <c r="A38" i="49"/>
  <c r="B38" i="49"/>
  <c r="C38" i="49"/>
  <c r="I38" i="49"/>
  <c r="A39" i="49"/>
  <c r="B39" i="49"/>
  <c r="C39" i="49"/>
  <c r="I39" i="49"/>
  <c r="A40" i="49"/>
  <c r="B40" i="49"/>
  <c r="C40" i="49"/>
  <c r="I40" i="49"/>
  <c r="A41" i="49"/>
  <c r="B41" i="49"/>
  <c r="C41" i="49"/>
  <c r="I41" i="49"/>
  <c r="A42" i="49"/>
  <c r="B42" i="49"/>
  <c r="C42" i="49"/>
  <c r="I42" i="49"/>
  <c r="A43" i="49"/>
  <c r="B43" i="49"/>
  <c r="C43" i="49"/>
  <c r="I43" i="49"/>
  <c r="A44" i="49"/>
  <c r="B44" i="49"/>
  <c r="C44" i="49"/>
  <c r="I44" i="49"/>
  <c r="A45" i="49"/>
  <c r="B45" i="49"/>
  <c r="C45" i="49"/>
  <c r="I45" i="49"/>
  <c r="A46" i="49"/>
  <c r="B46" i="49"/>
  <c r="C46" i="49"/>
  <c r="I46" i="49"/>
  <c r="A47" i="49"/>
  <c r="B47" i="49"/>
  <c r="C47" i="49"/>
  <c r="I47" i="49"/>
  <c r="A48" i="49"/>
  <c r="B48" i="49"/>
  <c r="C48" i="49"/>
  <c r="I48" i="49"/>
  <c r="A49" i="49"/>
  <c r="B49" i="49"/>
  <c r="C49" i="49"/>
  <c r="I49" i="49"/>
  <c r="A50" i="49"/>
  <c r="B50" i="49"/>
  <c r="C50" i="49"/>
  <c r="I50" i="49"/>
  <c r="A51" i="49"/>
  <c r="B51" i="49"/>
  <c r="C51" i="49"/>
  <c r="I51" i="49"/>
  <c r="A52" i="49"/>
  <c r="B52" i="49"/>
  <c r="C52" i="49"/>
  <c r="I52" i="49"/>
  <c r="A53" i="49"/>
  <c r="B53" i="49"/>
  <c r="C53" i="49"/>
  <c r="I53" i="49"/>
  <c r="A54" i="49"/>
  <c r="B54" i="49"/>
  <c r="C54" i="49"/>
  <c r="I54" i="49"/>
  <c r="A55" i="49"/>
  <c r="B55" i="49"/>
  <c r="C55" i="49"/>
  <c r="I55" i="49"/>
  <c r="A56" i="49"/>
  <c r="B56" i="49"/>
  <c r="C56" i="49"/>
  <c r="I56" i="49"/>
  <c r="A57" i="49"/>
  <c r="B57" i="49"/>
  <c r="C57" i="49"/>
  <c r="I57" i="49"/>
  <c r="A58" i="49"/>
  <c r="B58" i="49"/>
  <c r="C58" i="49"/>
  <c r="I58" i="49"/>
  <c r="A59" i="49"/>
  <c r="B59" i="49"/>
  <c r="C59" i="49"/>
  <c r="I59" i="49"/>
  <c r="A60" i="49"/>
  <c r="B60" i="49"/>
  <c r="C60" i="49"/>
  <c r="I60" i="49"/>
  <c r="A61" i="49"/>
  <c r="B61" i="49"/>
  <c r="C61" i="49"/>
  <c r="I61" i="49"/>
  <c r="A62" i="49"/>
  <c r="C62" i="49"/>
  <c r="I62" i="49"/>
  <c r="A63" i="49"/>
  <c r="C63" i="49"/>
  <c r="I63" i="49"/>
  <c r="A64" i="49"/>
  <c r="C64" i="49"/>
  <c r="I64" i="49"/>
  <c r="A65" i="49"/>
  <c r="C65" i="49"/>
  <c r="I65" i="49"/>
  <c r="A66" i="49"/>
  <c r="C66" i="49"/>
  <c r="I66" i="49"/>
  <c r="A67" i="49"/>
  <c r="C67" i="49"/>
  <c r="I67" i="49"/>
  <c r="A68" i="49"/>
  <c r="C68" i="49"/>
  <c r="I68" i="49"/>
  <c r="A69" i="49"/>
  <c r="C69" i="49"/>
  <c r="I69" i="49"/>
  <c r="A70" i="49"/>
  <c r="C70" i="49"/>
  <c r="I70" i="49"/>
  <c r="A71" i="49"/>
  <c r="C71" i="49"/>
  <c r="I71" i="49"/>
  <c r="A72" i="49"/>
  <c r="C72" i="49"/>
  <c r="I72" i="49"/>
  <c r="A73" i="49"/>
  <c r="C73" i="49"/>
  <c r="I73" i="49"/>
  <c r="A74" i="49"/>
  <c r="C74" i="49"/>
  <c r="I74" i="49"/>
  <c r="A75" i="49"/>
  <c r="C75" i="49"/>
  <c r="I75" i="49"/>
  <c r="A76" i="49"/>
  <c r="C76" i="49"/>
  <c r="I76" i="49"/>
  <c r="A77" i="49"/>
  <c r="C77" i="49"/>
  <c r="I77" i="49"/>
  <c r="A78" i="49"/>
  <c r="C78" i="49"/>
  <c r="I78" i="49"/>
  <c r="A79" i="49"/>
  <c r="C79" i="49"/>
  <c r="I79" i="49"/>
  <c r="A80" i="49"/>
  <c r="C80" i="49"/>
  <c r="I80" i="49"/>
  <c r="A81" i="49"/>
  <c r="C81" i="49"/>
  <c r="I81" i="49"/>
  <c r="A82" i="49"/>
  <c r="C82" i="49"/>
  <c r="I82" i="49"/>
  <c r="A83" i="49"/>
  <c r="C83" i="49"/>
  <c r="I83" i="49"/>
  <c r="A84" i="49"/>
  <c r="C84" i="49"/>
  <c r="I84" i="49"/>
  <c r="A85" i="49"/>
  <c r="C85" i="49"/>
  <c r="I85" i="49"/>
  <c r="A86" i="49"/>
  <c r="C86" i="49"/>
  <c r="I86" i="49"/>
  <c r="A87" i="49"/>
  <c r="C87" i="49"/>
  <c r="I87" i="49"/>
  <c r="A88" i="49"/>
  <c r="C88" i="49"/>
  <c r="I88" i="49"/>
  <c r="A89" i="49"/>
  <c r="C89" i="49"/>
  <c r="I89" i="49"/>
  <c r="A90" i="49"/>
  <c r="C90" i="49"/>
  <c r="I90" i="49"/>
  <c r="A91" i="49"/>
  <c r="C91" i="49"/>
  <c r="I91" i="49"/>
  <c r="A92" i="49"/>
  <c r="C92" i="49"/>
  <c r="I92" i="49"/>
  <c r="A93" i="49"/>
  <c r="C93" i="49"/>
  <c r="I93" i="49"/>
  <c r="A94" i="49"/>
  <c r="C94" i="49"/>
  <c r="I94" i="49"/>
  <c r="A95" i="49"/>
  <c r="C95" i="49"/>
  <c r="I95" i="49"/>
  <c r="A96" i="49"/>
  <c r="C96" i="49"/>
  <c r="I96" i="49"/>
  <c r="A97" i="49"/>
  <c r="C97" i="49"/>
  <c r="I97" i="49"/>
  <c r="A98" i="49"/>
  <c r="C98" i="49"/>
  <c r="I98" i="49"/>
  <c r="A99" i="49"/>
  <c r="C99" i="49"/>
  <c r="I99" i="49"/>
  <c r="A100" i="49"/>
  <c r="C100" i="49"/>
  <c r="I100" i="49"/>
  <c r="A101" i="49"/>
  <c r="B101" i="49"/>
  <c r="C101" i="49"/>
  <c r="I101" i="49"/>
  <c r="A102" i="49"/>
  <c r="B102" i="49"/>
  <c r="C102" i="49"/>
  <c r="I102" i="49"/>
  <c r="A103" i="49"/>
  <c r="B103" i="49"/>
  <c r="C103" i="49"/>
  <c r="I103" i="49"/>
  <c r="A104" i="49"/>
  <c r="B104" i="49"/>
  <c r="C104" i="49"/>
  <c r="I104" i="49"/>
  <c r="A105" i="49"/>
  <c r="B105" i="49"/>
  <c r="C105" i="49"/>
  <c r="I105" i="49"/>
  <c r="A106" i="49"/>
  <c r="B106" i="49"/>
  <c r="C106" i="49"/>
  <c r="I106" i="49"/>
  <c r="A107" i="49"/>
  <c r="B107" i="49"/>
  <c r="C107" i="49"/>
  <c r="I107" i="49"/>
  <c r="A108" i="49"/>
  <c r="B108" i="49"/>
  <c r="C108" i="49"/>
  <c r="I108" i="49"/>
  <c r="A109" i="49"/>
  <c r="B109" i="49"/>
  <c r="C109" i="49"/>
  <c r="I109" i="49"/>
  <c r="A110" i="49"/>
  <c r="B110" i="49"/>
  <c r="C110" i="49"/>
  <c r="I110" i="49"/>
  <c r="A111" i="49"/>
  <c r="B111" i="49"/>
  <c r="C111" i="49"/>
  <c r="I111" i="49"/>
  <c r="A112" i="49"/>
  <c r="B112" i="49"/>
  <c r="C112" i="49"/>
  <c r="I112" i="49"/>
  <c r="A113" i="49"/>
  <c r="B113" i="49"/>
  <c r="C113" i="49"/>
  <c r="I113" i="49"/>
  <c r="A114" i="49"/>
  <c r="B114" i="49"/>
  <c r="C114" i="49"/>
  <c r="I114" i="49"/>
  <c r="A115" i="49"/>
  <c r="B115" i="49"/>
  <c r="C115" i="49"/>
  <c r="I115" i="49"/>
  <c r="A116" i="49"/>
  <c r="B116" i="49"/>
  <c r="C116" i="49"/>
  <c r="I116" i="49"/>
  <c r="A117" i="49"/>
  <c r="B117" i="49"/>
  <c r="C117" i="49"/>
  <c r="I117" i="49"/>
  <c r="J118" i="49" l="1"/>
  <c r="F99" i="2"/>
  <c r="F90" i="2"/>
  <c r="F84" i="2"/>
  <c r="F82" i="2"/>
  <c r="F73" i="2"/>
  <c r="F63" i="2"/>
  <c r="F66" i="2"/>
  <c r="C98" i="2"/>
  <c r="B98" i="49" s="1"/>
  <c r="C93" i="2"/>
  <c r="B93" i="49" s="1"/>
  <c r="C85" i="2"/>
  <c r="B85" i="49" s="1"/>
  <c r="C77" i="2"/>
  <c r="B77" i="49" s="1"/>
  <c r="C76" i="2"/>
  <c r="B76" i="49" s="1"/>
  <c r="C67" i="2"/>
  <c r="B67" i="49" s="1"/>
  <c r="C64" i="2"/>
  <c r="B64" i="49" s="1"/>
  <c r="C66" i="2"/>
  <c r="B66" i="49" s="1"/>
  <c r="C73" i="2"/>
  <c r="B73" i="49" s="1"/>
  <c r="C82" i="2"/>
  <c r="B82" i="49" s="1"/>
  <c r="C84" i="2"/>
  <c r="B84" i="49" s="1"/>
  <c r="C90" i="2"/>
  <c r="B90" i="49" s="1"/>
  <c r="C99" i="2"/>
  <c r="B99" i="49" s="1"/>
  <c r="C63" i="2"/>
  <c r="B63" i="49" s="1"/>
  <c r="C65" i="2"/>
  <c r="B65" i="49" s="1"/>
  <c r="C68" i="2"/>
  <c r="B68" i="49" s="1"/>
  <c r="C69" i="2"/>
  <c r="B69" i="49" s="1"/>
  <c r="C70" i="2"/>
  <c r="B70" i="49" s="1"/>
  <c r="C71" i="2"/>
  <c r="B71" i="49" s="1"/>
  <c r="C72" i="2"/>
  <c r="B72" i="49" s="1"/>
  <c r="C74" i="2"/>
  <c r="B74" i="49" s="1"/>
  <c r="C75" i="2"/>
  <c r="B75" i="49" s="1"/>
  <c r="C78" i="2"/>
  <c r="B78" i="49" s="1"/>
  <c r="C79" i="2"/>
  <c r="B79" i="49" s="1"/>
  <c r="C80" i="2"/>
  <c r="B80" i="49" s="1"/>
  <c r="C81" i="2"/>
  <c r="B81" i="49" s="1"/>
  <c r="C83" i="2"/>
  <c r="B83" i="49" s="1"/>
  <c r="C86" i="2"/>
  <c r="B86" i="49" s="1"/>
  <c r="C87" i="2"/>
  <c r="B87" i="49" s="1"/>
  <c r="C88" i="2"/>
  <c r="B88" i="49" s="1"/>
  <c r="C89" i="2"/>
  <c r="B89" i="49" s="1"/>
  <c r="C91" i="2"/>
  <c r="B91" i="49" s="1"/>
  <c r="C92" i="2"/>
  <c r="B92" i="49" s="1"/>
  <c r="C94" i="2"/>
  <c r="B94" i="49" s="1"/>
  <c r="C95" i="2"/>
  <c r="B95" i="49" s="1"/>
  <c r="C96" i="2"/>
  <c r="B96" i="49" s="1"/>
  <c r="C97" i="2"/>
  <c r="B97" i="49" s="1"/>
  <c r="C100" i="2"/>
  <c r="B100" i="49" s="1"/>
  <c r="C62" i="2"/>
  <c r="B62" i="49" s="1"/>
  <c r="F100" i="2"/>
  <c r="F97" i="2"/>
  <c r="F96" i="2"/>
  <c r="F95" i="2"/>
  <c r="F94" i="2"/>
  <c r="F92" i="2"/>
  <c r="F91" i="2"/>
  <c r="F89" i="2"/>
  <c r="F88" i="2"/>
  <c r="F87" i="2"/>
  <c r="F86" i="2"/>
  <c r="F83" i="2"/>
  <c r="F81" i="2"/>
  <c r="F80" i="2"/>
  <c r="F79" i="2"/>
  <c r="F78" i="2"/>
  <c r="F75" i="2"/>
  <c r="F74" i="2"/>
  <c r="F69" i="2"/>
  <c r="F70" i="2"/>
  <c r="F71" i="2"/>
  <c r="F72" i="2"/>
  <c r="F68" i="2"/>
  <c r="F65" i="2"/>
  <c r="F62" i="2"/>
  <c r="L100" i="2"/>
  <c r="L97" i="2"/>
  <c r="L96" i="2"/>
  <c r="L95" i="2"/>
  <c r="L94" i="2"/>
  <c r="L92" i="2"/>
  <c r="L91" i="2"/>
  <c r="L89" i="2"/>
  <c r="L88" i="2"/>
  <c r="L87" i="2"/>
  <c r="L86" i="2"/>
  <c r="L83" i="2"/>
  <c r="L81" i="2"/>
  <c r="L80" i="2"/>
  <c r="L79" i="2"/>
  <c r="L78" i="2"/>
  <c r="L75" i="2"/>
  <c r="L74" i="2"/>
  <c r="L69" i="2"/>
  <c r="L70" i="2"/>
  <c r="L71" i="2"/>
  <c r="L72" i="2"/>
  <c r="L68" i="2"/>
  <c r="L65" i="2"/>
  <c r="L99" i="2"/>
  <c r="L90" i="2"/>
  <c r="L84" i="2"/>
  <c r="L82" i="2"/>
  <c r="L73" i="2"/>
  <c r="L66" i="2"/>
  <c r="L98" i="2"/>
  <c r="L93" i="2"/>
  <c r="L85" i="2"/>
  <c r="L77" i="2"/>
  <c r="L76" i="2"/>
  <c r="L67" i="2"/>
  <c r="L64" i="2"/>
  <c r="L63" i="2"/>
  <c r="L62" i="2"/>
  <c r="H47" i="50" l="1"/>
  <c r="H49" i="50"/>
  <c r="H48" i="50"/>
  <c r="H26" i="50"/>
  <c r="H19" i="50"/>
  <c r="H12" i="50"/>
  <c r="H6" i="50"/>
  <c r="D49" i="50" l="1"/>
  <c r="D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2" i="50"/>
  <c r="E42" i="2" l="1"/>
  <c r="E33" i="2"/>
  <c r="F64" i="2" l="1"/>
  <c r="F22" i="15" l="1"/>
  <c r="E22" i="15"/>
  <c r="C22" i="15"/>
  <c r="N22" i="15" s="1"/>
  <c r="F21" i="15"/>
  <c r="E21" i="15"/>
  <c r="C21" i="15"/>
  <c r="N21" i="15" s="1"/>
  <c r="F20" i="15"/>
  <c r="E20" i="15"/>
  <c r="C20" i="15"/>
  <c r="N20" i="15" s="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" i="7"/>
  <c r="F19" i="15"/>
  <c r="E19" i="15"/>
  <c r="C19" i="15"/>
  <c r="N19" i="15" s="1"/>
  <c r="F18" i="15"/>
  <c r="E18" i="15"/>
  <c r="N18" i="15" s="1"/>
  <c r="F17" i="15"/>
  <c r="E17" i="15"/>
  <c r="N17" i="15" s="1"/>
  <c r="F16" i="15"/>
  <c r="N16" i="15"/>
  <c r="F9" i="15" l="1"/>
  <c r="E9" i="15"/>
  <c r="N9" i="15" s="1"/>
  <c r="F67" i="2"/>
  <c r="F10" i="15"/>
  <c r="E10" i="15"/>
  <c r="N10" i="15" s="1"/>
  <c r="F76" i="2"/>
  <c r="F77" i="2"/>
  <c r="F85" i="2"/>
  <c r="F93" i="2"/>
  <c r="F98" i="2"/>
  <c r="F15" i="15"/>
  <c r="C15" i="15"/>
  <c r="F14" i="15"/>
  <c r="N14" i="15"/>
  <c r="F13" i="15"/>
  <c r="N13" i="15"/>
  <c r="C13" i="15"/>
  <c r="F12" i="15"/>
  <c r="N12" i="15"/>
  <c r="C12" i="15"/>
  <c r="F11" i="15"/>
  <c r="N11" i="15"/>
  <c r="N15" i="15" l="1"/>
  <c r="E66" i="2" l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62" i="2"/>
  <c r="E63" i="2"/>
  <c r="E64" i="2"/>
  <c r="E65" i="2"/>
  <c r="F6" i="7"/>
  <c r="E8" i="15"/>
  <c r="E7" i="15"/>
  <c r="E6" i="15"/>
  <c r="E5" i="15"/>
  <c r="E4" i="15"/>
  <c r="E3" i="15"/>
  <c r="E2" i="15"/>
  <c r="G6" i="7" l="1"/>
  <c r="E43" i="2"/>
  <c r="E57" i="2"/>
  <c r="E56" i="2"/>
  <c r="E55" i="2"/>
  <c r="E54" i="2"/>
  <c r="A3" i="49"/>
  <c r="B3" i="49"/>
  <c r="C3" i="49"/>
  <c r="I3" i="49"/>
  <c r="A4" i="49"/>
  <c r="B4" i="49"/>
  <c r="C4" i="49"/>
  <c r="I4" i="49"/>
  <c r="A5" i="49"/>
  <c r="B5" i="49"/>
  <c r="C5" i="49"/>
  <c r="I5" i="49"/>
  <c r="A6" i="49"/>
  <c r="B6" i="49"/>
  <c r="C6" i="49"/>
  <c r="I6" i="49"/>
  <c r="A7" i="49"/>
  <c r="B7" i="49"/>
  <c r="C7" i="49"/>
  <c r="I7" i="49"/>
  <c r="A8" i="49"/>
  <c r="B8" i="49"/>
  <c r="C8" i="49"/>
  <c r="I8" i="49"/>
  <c r="A9" i="49"/>
  <c r="B9" i="49"/>
  <c r="C9" i="49"/>
  <c r="I9" i="49"/>
  <c r="A10" i="49"/>
  <c r="B10" i="49"/>
  <c r="C10" i="49"/>
  <c r="I10" i="49"/>
  <c r="A11" i="49"/>
  <c r="B11" i="49"/>
  <c r="C11" i="49"/>
  <c r="I11" i="49"/>
  <c r="A12" i="49"/>
  <c r="B12" i="49"/>
  <c r="C12" i="49"/>
  <c r="I12" i="49"/>
  <c r="A13" i="49"/>
  <c r="B13" i="49"/>
  <c r="C13" i="49"/>
  <c r="I13" i="49"/>
  <c r="A14" i="49"/>
  <c r="B14" i="49"/>
  <c r="C14" i="49"/>
  <c r="I14" i="49"/>
  <c r="A15" i="49"/>
  <c r="B15" i="49"/>
  <c r="C15" i="49"/>
  <c r="I15" i="49"/>
  <c r="A16" i="49"/>
  <c r="B16" i="49"/>
  <c r="C16" i="49"/>
  <c r="I16" i="49"/>
  <c r="A17" i="49"/>
  <c r="B17" i="49"/>
  <c r="C17" i="49"/>
  <c r="I17" i="49"/>
  <c r="E116" i="2"/>
  <c r="E117" i="2"/>
  <c r="E108" i="2"/>
  <c r="E109" i="2"/>
  <c r="E110" i="2"/>
  <c r="E111" i="2"/>
  <c r="E112" i="2"/>
  <c r="E113" i="2"/>
  <c r="E114" i="2"/>
  <c r="E115" i="2"/>
  <c r="E102" i="2"/>
  <c r="E103" i="2"/>
  <c r="E104" i="2"/>
  <c r="E105" i="2"/>
  <c r="E106" i="2"/>
  <c r="E107" i="2"/>
  <c r="E101" i="2"/>
  <c r="E60" i="2"/>
  <c r="E61" i="2"/>
  <c r="E48" i="2"/>
  <c r="E49" i="2"/>
  <c r="E50" i="2"/>
  <c r="E51" i="2"/>
  <c r="E52" i="2"/>
  <c r="E53" i="2"/>
  <c r="E47" i="2"/>
  <c r="E46" i="2"/>
  <c r="E45" i="2"/>
  <c r="E44" i="2"/>
  <c r="E58" i="2"/>
  <c r="E59" i="2"/>
  <c r="A82" i="11"/>
  <c r="A86" i="11"/>
  <c r="A98" i="11"/>
  <c r="A90" i="11"/>
  <c r="A92" i="11"/>
  <c r="A87" i="11"/>
  <c r="A93" i="11"/>
  <c r="A89" i="11"/>
  <c r="A99" i="11"/>
  <c r="A94" i="11"/>
  <c r="A88" i="11"/>
  <c r="A80" i="11"/>
  <c r="A95" i="11"/>
  <c r="A78" i="11"/>
  <c r="A84" i="11"/>
  <c r="A77" i="11"/>
  <c r="A100" i="11"/>
  <c r="A96" i="11"/>
  <c r="A85" i="11"/>
  <c r="A91" i="11"/>
  <c r="A79" i="11"/>
  <c r="A83" i="11"/>
  <c r="A81" i="11"/>
  <c r="E25" i="2" l="1"/>
  <c r="E36" i="2" l="1"/>
  <c r="E37" i="2"/>
  <c r="E38" i="2"/>
  <c r="E39" i="2"/>
  <c r="E40" i="2"/>
  <c r="E41" i="2"/>
  <c r="A52" i="11"/>
  <c r="A54" i="11"/>
  <c r="A51" i="11"/>
  <c r="A66" i="11"/>
  <c r="A41" i="11"/>
  <c r="A39" i="11"/>
  <c r="A50" i="11"/>
  <c r="A69" i="11"/>
  <c r="A74" i="11"/>
  <c r="A68" i="11"/>
  <c r="A59" i="11"/>
  <c r="A75" i="11"/>
  <c r="A76" i="11"/>
  <c r="A70" i="11"/>
  <c r="A44" i="11"/>
  <c r="A48" i="11"/>
  <c r="A43" i="11"/>
  <c r="A37" i="11"/>
  <c r="A42" i="11"/>
  <c r="A63" i="11"/>
  <c r="A40" i="11"/>
  <c r="A67" i="11"/>
  <c r="A45" i="11"/>
  <c r="A73" i="11"/>
  <c r="A55" i="11"/>
  <c r="A46" i="11"/>
  <c r="A47" i="11"/>
  <c r="A60" i="11"/>
  <c r="A64" i="11"/>
  <c r="A65" i="11"/>
  <c r="A62" i="11"/>
  <c r="A38" i="11"/>
  <c r="A53" i="11"/>
  <c r="A71" i="11"/>
  <c r="A56" i="11"/>
  <c r="A72" i="11"/>
  <c r="A61" i="11"/>
  <c r="A58" i="11"/>
  <c r="A57" i="11"/>
  <c r="A49" i="1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6" i="2"/>
  <c r="E27" i="2"/>
  <c r="E28" i="2"/>
  <c r="E29" i="2"/>
  <c r="E30" i="2"/>
  <c r="E31" i="2"/>
  <c r="E32" i="2"/>
  <c r="E34" i="2"/>
  <c r="E35" i="2"/>
  <c r="A34" i="11"/>
  <c r="A36" i="11"/>
  <c r="A33" i="11"/>
  <c r="A35" i="11"/>
  <c r="F7" i="7" l="1"/>
  <c r="C2" i="49" l="1"/>
  <c r="B2" i="49"/>
  <c r="A2" i="49"/>
  <c r="E2" i="2" l="1"/>
  <c r="E118" i="49" l="1"/>
  <c r="F118" i="49"/>
  <c r="G118" i="49"/>
  <c r="H118" i="49"/>
  <c r="D118" i="49"/>
  <c r="G7" i="7"/>
  <c r="A32" i="11"/>
  <c r="A23" i="11"/>
  <c r="A25" i="11"/>
  <c r="A7" i="11"/>
  <c r="A28" i="11"/>
  <c r="A19" i="11"/>
  <c r="A4" i="11"/>
  <c r="A21" i="11"/>
  <c r="A29" i="11"/>
  <c r="A3" i="11"/>
  <c r="A31" i="11"/>
  <c r="A10" i="11"/>
  <c r="A8" i="11"/>
  <c r="A16" i="11"/>
  <c r="A14" i="11"/>
  <c r="A6" i="11"/>
  <c r="A30" i="11"/>
  <c r="A11" i="11"/>
  <c r="A26" i="11"/>
  <c r="A24" i="11"/>
  <c r="A20" i="11"/>
  <c r="A12" i="11"/>
  <c r="A18" i="11"/>
  <c r="A15" i="11"/>
  <c r="A5" i="11"/>
  <c r="A9" i="11"/>
  <c r="A27" i="11"/>
  <c r="A13" i="11"/>
  <c r="A22" i="11"/>
  <c r="A17" i="11"/>
  <c r="I2" i="49" l="1"/>
  <c r="I118" i="49" s="1"/>
  <c r="F5" i="7" l="1"/>
  <c r="G5" i="7" l="1"/>
  <c r="F4" i="7" l="1"/>
  <c r="C9" i="7" l="1"/>
  <c r="G4" i="7" l="1"/>
  <c r="F3" i="7" l="1"/>
  <c r="F2" i="7"/>
  <c r="F8" i="7" l="1"/>
  <c r="G3" i="7"/>
  <c r="B3" i="16" l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G2" i="7" l="1"/>
  <c r="G8" i="7" s="1"/>
  <c r="C4" i="16"/>
  <c r="D4" i="16" s="1"/>
  <c r="C2" i="16"/>
  <c r="D2" i="16" s="1"/>
  <c r="E2" i="16" s="1"/>
  <c r="F2" i="16" s="1"/>
  <c r="G2" i="16" s="1"/>
  <c r="H2" i="16" s="1"/>
  <c r="I2" i="16" s="1"/>
  <c r="J2" i="16" s="1"/>
  <c r="K2" i="16" s="1"/>
  <c r="L2" i="16" s="1"/>
  <c r="M2" i="16" s="1"/>
  <c r="N2" i="16" s="1"/>
  <c r="O2" i="16" s="1"/>
  <c r="P2" i="16" s="1"/>
  <c r="Q2" i="16" s="1"/>
  <c r="R2" i="16" s="1"/>
  <c r="S2" i="16" s="1"/>
  <c r="T2" i="16" s="1"/>
  <c r="U2" i="16" s="1"/>
  <c r="E4" i="16" l="1"/>
  <c r="F4" i="16" s="1"/>
  <c r="C8" i="16"/>
  <c r="C6" i="16"/>
  <c r="C3" i="16"/>
  <c r="D3" i="16" s="1"/>
  <c r="E3" i="16" s="1"/>
  <c r="F3" i="16" s="1"/>
  <c r="G3" i="16" s="1"/>
  <c r="H3" i="16" s="1"/>
  <c r="I3" i="16" s="1"/>
  <c r="J3" i="16" s="1"/>
  <c r="K3" i="16" s="1"/>
  <c r="L3" i="16" s="1"/>
  <c r="M3" i="16" s="1"/>
  <c r="N3" i="16" s="1"/>
  <c r="O3" i="16" s="1"/>
  <c r="P3" i="16" s="1"/>
  <c r="Q3" i="16" s="1"/>
  <c r="R3" i="16" s="1"/>
  <c r="S3" i="16" s="1"/>
  <c r="T3" i="16" s="1"/>
  <c r="U3" i="16" s="1"/>
  <c r="D8" i="16" l="1"/>
  <c r="D6" i="16"/>
  <c r="G4" i="16"/>
  <c r="C10" i="16" l="1"/>
  <c r="E8" i="16"/>
  <c r="E6" i="16"/>
  <c r="H4" i="16"/>
  <c r="C12" i="16" l="1"/>
  <c r="D10" i="16"/>
  <c r="F8" i="16"/>
  <c r="F6" i="16"/>
  <c r="I4" i="16"/>
  <c r="C4" i="7"/>
  <c r="D12" i="16" l="1"/>
  <c r="C14" i="16"/>
  <c r="E10" i="16"/>
  <c r="G8" i="16"/>
  <c r="G6" i="16"/>
  <c r="J4" i="16"/>
  <c r="F10" i="16" l="1"/>
  <c r="D14" i="16"/>
  <c r="C16" i="16"/>
  <c r="E12" i="16"/>
  <c r="H8" i="16"/>
  <c r="H6" i="16"/>
  <c r="K4" i="16"/>
  <c r="G10" i="16" l="1"/>
  <c r="D16" i="16"/>
  <c r="E14" i="16"/>
  <c r="C18" i="16"/>
  <c r="F12" i="16"/>
  <c r="I8" i="16"/>
  <c r="I6" i="16"/>
  <c r="L4" i="16"/>
  <c r="C20" i="16" l="1"/>
  <c r="E16" i="16"/>
  <c r="D18" i="16"/>
  <c r="G12" i="16"/>
  <c r="F14" i="16"/>
  <c r="H10" i="16"/>
  <c r="J8" i="16"/>
  <c r="J6" i="16"/>
  <c r="M4" i="16"/>
  <c r="C3" i="7"/>
  <c r="C5" i="7"/>
  <c r="C6" i="7"/>
  <c r="C7" i="7"/>
  <c r="C8" i="7"/>
  <c r="C10" i="7"/>
  <c r="C2" i="7"/>
  <c r="C11" i="7" l="1"/>
  <c r="G14" i="16"/>
  <c r="F16" i="16"/>
  <c r="H12" i="16"/>
  <c r="I10" i="16"/>
  <c r="E18" i="16"/>
  <c r="D20" i="16"/>
  <c r="K8" i="16"/>
  <c r="K6" i="16"/>
  <c r="N4" i="16"/>
  <c r="G16" i="16" l="1"/>
  <c r="F18" i="16"/>
  <c r="I12" i="16"/>
  <c r="H14" i="16"/>
  <c r="E20" i="16"/>
  <c r="J10" i="16"/>
  <c r="L8" i="16"/>
  <c r="L6" i="16"/>
  <c r="O4" i="16"/>
  <c r="K10" i="16" l="1"/>
  <c r="J12" i="16"/>
  <c r="F20" i="16"/>
  <c r="G18" i="16"/>
  <c r="I14" i="16"/>
  <c r="H16" i="16"/>
  <c r="M8" i="16"/>
  <c r="M6" i="16"/>
  <c r="P4" i="16"/>
  <c r="J14" i="16" l="1"/>
  <c r="K12" i="16"/>
  <c r="G20" i="16"/>
  <c r="I16" i="16"/>
  <c r="H18" i="16"/>
  <c r="L10" i="16"/>
  <c r="N8" i="16"/>
  <c r="N6" i="16"/>
  <c r="Q4" i="16"/>
  <c r="I18" i="16" l="1"/>
  <c r="L12" i="16"/>
  <c r="M10" i="16"/>
  <c r="J16" i="16"/>
  <c r="H20" i="16"/>
  <c r="K14" i="16"/>
  <c r="O8" i="16"/>
  <c r="O6" i="16"/>
  <c r="R4" i="16"/>
  <c r="N10" i="16" l="1"/>
  <c r="I20" i="16"/>
  <c r="L14" i="16"/>
  <c r="M12" i="16"/>
  <c r="K16" i="16"/>
  <c r="J18" i="16"/>
  <c r="P8" i="16"/>
  <c r="P6" i="16"/>
  <c r="S4" i="16"/>
  <c r="L16" i="16" l="1"/>
  <c r="N12" i="16"/>
  <c r="J20" i="16"/>
  <c r="K18" i="16"/>
  <c r="M14" i="16"/>
  <c r="O10" i="16"/>
  <c r="Q8" i="16"/>
  <c r="Q6" i="16"/>
  <c r="T4" i="16"/>
  <c r="N14" i="16" l="1"/>
  <c r="P10" i="16"/>
  <c r="O12" i="16"/>
  <c r="L18" i="16"/>
  <c r="K20" i="16"/>
  <c r="M16" i="16"/>
  <c r="R8" i="16"/>
  <c r="R6" i="16"/>
  <c r="U4" i="16"/>
  <c r="P12" i="16" l="1"/>
  <c r="N16" i="16"/>
  <c r="L20" i="16"/>
  <c r="Q10" i="16"/>
  <c r="M18" i="16"/>
  <c r="O14" i="16"/>
  <c r="S8" i="16"/>
  <c r="S6" i="16"/>
  <c r="C5" i="16" l="1"/>
  <c r="N18" i="16"/>
  <c r="P14" i="16"/>
  <c r="Q12" i="16"/>
  <c r="M20" i="16"/>
  <c r="O16" i="16"/>
  <c r="R10" i="16"/>
  <c r="T8" i="16"/>
  <c r="T6" i="16"/>
  <c r="D5" i="16" l="1"/>
  <c r="P16" i="16"/>
  <c r="R12" i="16"/>
  <c r="Q14" i="16"/>
  <c r="S10" i="16"/>
  <c r="N20" i="16"/>
  <c r="O18" i="16"/>
  <c r="U8" i="16"/>
  <c r="U6" i="16"/>
  <c r="E5" i="16" l="1"/>
  <c r="P18" i="16"/>
  <c r="R14" i="16"/>
  <c r="Q16" i="16"/>
  <c r="S12" i="16"/>
  <c r="T10" i="16"/>
  <c r="O20" i="16"/>
  <c r="F5" i="16" l="1"/>
  <c r="P20" i="16"/>
  <c r="T12" i="16"/>
  <c r="S14" i="16"/>
  <c r="U10" i="16"/>
  <c r="R16" i="16"/>
  <c r="Q18" i="16"/>
  <c r="C9" i="16"/>
  <c r="C7" i="16"/>
  <c r="G5" i="16" l="1"/>
  <c r="R18" i="16"/>
  <c r="U12" i="16"/>
  <c r="S16" i="16"/>
  <c r="T14" i="16"/>
  <c r="Q20" i="16"/>
  <c r="D9" i="16"/>
  <c r="D7" i="16"/>
  <c r="H5" i="16" l="1"/>
  <c r="R20" i="16"/>
  <c r="T16" i="16"/>
  <c r="C11" i="16"/>
  <c r="U14" i="16"/>
  <c r="S18" i="16"/>
  <c r="E9" i="16"/>
  <c r="E7" i="16"/>
  <c r="I5" i="16" l="1"/>
  <c r="T18" i="16"/>
  <c r="U16" i="16"/>
  <c r="D11" i="16"/>
  <c r="C13" i="16"/>
  <c r="S20" i="16"/>
  <c r="F9" i="16"/>
  <c r="F7" i="16"/>
  <c r="J5" i="16" l="1"/>
  <c r="T20" i="16"/>
  <c r="C15" i="16"/>
  <c r="D13" i="16"/>
  <c r="E11" i="16"/>
  <c r="U18" i="16"/>
  <c r="G9" i="16"/>
  <c r="G7" i="16"/>
  <c r="K5" i="16" l="1"/>
  <c r="C17" i="16"/>
  <c r="F11" i="16"/>
  <c r="D15" i="16"/>
  <c r="E13" i="16"/>
  <c r="U20" i="16"/>
  <c r="H9" i="16"/>
  <c r="H7" i="16"/>
  <c r="L5" i="16" l="1"/>
  <c r="G11" i="16"/>
  <c r="F13" i="16"/>
  <c r="C19" i="16"/>
  <c r="E15" i="16"/>
  <c r="D17" i="16"/>
  <c r="I9" i="16"/>
  <c r="I7" i="16"/>
  <c r="M5" i="16" l="1"/>
  <c r="E17" i="16"/>
  <c r="H11" i="16"/>
  <c r="D19" i="16"/>
  <c r="F15" i="16"/>
  <c r="G13" i="16"/>
  <c r="C21" i="16"/>
  <c r="J9" i="16"/>
  <c r="J7" i="16"/>
  <c r="N5" i="16" l="1"/>
  <c r="H13" i="16"/>
  <c r="F17" i="16"/>
  <c r="D21" i="16"/>
  <c r="G15" i="16"/>
  <c r="I11" i="16"/>
  <c r="E19" i="16"/>
  <c r="K9" i="16"/>
  <c r="K7" i="16"/>
  <c r="O5" i="16" l="1"/>
  <c r="E21" i="16"/>
  <c r="F19" i="16"/>
  <c r="H15" i="16"/>
  <c r="G17" i="16"/>
  <c r="J11" i="16"/>
  <c r="I13" i="16"/>
  <c r="L9" i="16"/>
  <c r="L7" i="16"/>
  <c r="P5" i="16" l="1"/>
  <c r="H17" i="16"/>
  <c r="J13" i="16"/>
  <c r="G19" i="16"/>
  <c r="K11" i="16"/>
  <c r="I15" i="16"/>
  <c r="F21" i="16"/>
  <c r="M9" i="16"/>
  <c r="M7" i="16"/>
  <c r="Q5" i="16" l="1"/>
  <c r="L11" i="16"/>
  <c r="I17" i="16"/>
  <c r="G21" i="16"/>
  <c r="K13" i="16"/>
  <c r="J15" i="16"/>
  <c r="H19" i="16"/>
  <c r="N9" i="16"/>
  <c r="N7" i="16"/>
  <c r="R5" i="16" l="1"/>
  <c r="J17" i="16"/>
  <c r="L13" i="16"/>
  <c r="H21" i="16"/>
  <c r="M11" i="16"/>
  <c r="I19" i="16"/>
  <c r="K15" i="16"/>
  <c r="O9" i="16"/>
  <c r="O7" i="16"/>
  <c r="S5" i="16" l="1"/>
  <c r="N11" i="16"/>
  <c r="M13" i="16"/>
  <c r="L15" i="16"/>
  <c r="I21" i="16"/>
  <c r="J19" i="16"/>
  <c r="K17" i="16"/>
  <c r="P9" i="16"/>
  <c r="P7" i="16"/>
  <c r="T5" i="16" l="1"/>
  <c r="N13" i="16"/>
  <c r="L17" i="16"/>
  <c r="J21" i="16"/>
  <c r="O11" i="16"/>
  <c r="K19" i="16"/>
  <c r="M15" i="16"/>
  <c r="Q9" i="16"/>
  <c r="Q7" i="16"/>
  <c r="U5" i="16" l="1"/>
  <c r="N15" i="16"/>
  <c r="O13" i="16"/>
  <c r="P11" i="16"/>
  <c r="M17" i="16"/>
  <c r="L19" i="16"/>
  <c r="K21" i="16"/>
  <c r="R9" i="16"/>
  <c r="R7" i="16"/>
  <c r="L21" i="16" l="1"/>
  <c r="N17" i="16"/>
  <c r="P13" i="16"/>
  <c r="Q11" i="16"/>
  <c r="M19" i="16"/>
  <c r="O15" i="16"/>
  <c r="S9" i="16"/>
  <c r="S7" i="16"/>
  <c r="M21" i="16" l="1"/>
  <c r="P15" i="16"/>
  <c r="R11" i="16"/>
  <c r="O17" i="16"/>
  <c r="N19" i="16"/>
  <c r="Q13" i="16"/>
  <c r="T9" i="16"/>
  <c r="T7" i="16"/>
  <c r="Q15" i="16" l="1"/>
  <c r="P17" i="16"/>
  <c r="S11" i="16"/>
  <c r="R13" i="16"/>
  <c r="O19" i="16"/>
  <c r="N21" i="16"/>
  <c r="U9" i="16"/>
  <c r="U7" i="16"/>
  <c r="Q17" i="16" l="1"/>
  <c r="S13" i="16"/>
  <c r="T11" i="16"/>
  <c r="R15" i="16"/>
  <c r="O21" i="16"/>
  <c r="P19" i="16"/>
  <c r="Q19" i="16" l="1"/>
  <c r="S15" i="16"/>
  <c r="T13" i="16"/>
  <c r="U11" i="16"/>
  <c r="R17" i="16"/>
  <c r="P21" i="16"/>
  <c r="Q21" i="16" l="1"/>
  <c r="T15" i="16"/>
  <c r="U13" i="16"/>
  <c r="S17" i="16"/>
  <c r="R19" i="16"/>
  <c r="U15" i="16" l="1"/>
  <c r="T17" i="16"/>
  <c r="S19" i="16"/>
  <c r="R21" i="16"/>
  <c r="S21" i="16" l="1"/>
  <c r="U17" i="16"/>
  <c r="T19" i="16"/>
  <c r="T21" i="16" l="1"/>
  <c r="U19" i="16"/>
  <c r="U21" i="16" l="1"/>
  <c r="A97" i="11"/>
</calcChain>
</file>

<file path=xl/sharedStrings.xml><?xml version="1.0" encoding="utf-8"?>
<sst xmlns="http://schemas.openxmlformats.org/spreadsheetml/2006/main" count="1708" uniqueCount="655">
  <si>
    <t>Description</t>
  </si>
  <si>
    <t>Achievement Name</t>
  </si>
  <si>
    <t>Achievement Description</t>
  </si>
  <si>
    <t>Points</t>
  </si>
  <si>
    <t>Categories</t>
  </si>
  <si>
    <t>Totals</t>
  </si>
  <si>
    <t>Count</t>
  </si>
  <si>
    <t>Notes</t>
  </si>
  <si>
    <t>Freebie</t>
  </si>
  <si>
    <t>Easy</t>
  </si>
  <si>
    <t>Medium</t>
  </si>
  <si>
    <t>Hard</t>
  </si>
  <si>
    <t>Very Hard</t>
  </si>
  <si>
    <t>Super Hard</t>
  </si>
  <si>
    <t>N/A</t>
  </si>
  <si>
    <t>Type</t>
  </si>
  <si>
    <t>Very Easy</t>
  </si>
  <si>
    <t>-----------------------------------------------------------------------------------------</t>
  </si>
  <si>
    <t>Badge</t>
  </si>
  <si>
    <t>X</t>
  </si>
  <si>
    <t>Achievements</t>
  </si>
  <si>
    <t>Leaderboard</t>
  </si>
  <si>
    <t>Reset Safe</t>
  </si>
  <si>
    <t>Triggers?</t>
  </si>
  <si>
    <t>Code Notes</t>
  </si>
  <si>
    <t>Spelling</t>
  </si>
  <si>
    <t>Ready?</t>
  </si>
  <si>
    <t>Progress</t>
  </si>
  <si>
    <t>Kiazo Hard</t>
  </si>
  <si>
    <t>Challenge</t>
  </si>
  <si>
    <t>#</t>
  </si>
  <si>
    <t>Obtain the fire ability</t>
  </si>
  <si>
    <t>Obtain the spark ability</t>
  </si>
  <si>
    <t>Obtain the sword ability</t>
  </si>
  <si>
    <t>Obtain the laser ability</t>
  </si>
  <si>
    <t>Obtain the mike ability</t>
  </si>
  <si>
    <t>Obtain the wheel ability</t>
  </si>
  <si>
    <t>Obtain the hammer ability</t>
  </si>
  <si>
    <t>Obtain the parasol ability</t>
  </si>
  <si>
    <t>Obtain the sleep ability</t>
  </si>
  <si>
    <t>Obtain the needle ability</t>
  </si>
  <si>
    <t>Obtain the ice ability</t>
  </si>
  <si>
    <t>Obtain the freeze ability</t>
  </si>
  <si>
    <t>Obtain the beam ability</t>
  </si>
  <si>
    <t>Obtain the tornado ability</t>
  </si>
  <si>
    <t>Obtain the crash ability</t>
  </si>
  <si>
    <t>Obtain the light ability</t>
  </si>
  <si>
    <t>Obtain the throw ability</t>
  </si>
  <si>
    <t>Ability</t>
  </si>
  <si>
    <t>Obtain the U.F.O. ability</t>
  </si>
  <si>
    <t>Obtain the mix ability</t>
  </si>
  <si>
    <t>Collect the 1up bonus at the end of any level</t>
  </si>
  <si>
    <t>Use the wheel to get to the bottom of 5-3-X without transforming to normal kirby (you can retry by returning to the top of the section)</t>
  </si>
  <si>
    <t>Bonus</t>
  </si>
  <si>
    <t>Defeat Yggy Woods Jr. without taking damage or using a copy ability</t>
  </si>
  <si>
    <t>Defeat Adeleine without taking damage or using a copy ability</t>
  </si>
  <si>
    <t>Defeat Mr Bright &amp; Mr Shine without taking damage or using a copy ability</t>
  </si>
  <si>
    <t>Defeat Kracko without taking damage or using a copy ability</t>
  </si>
  <si>
    <t>Defeat Heavy Mole without taking damage or using a copy ability</t>
  </si>
  <si>
    <t>Defeat Tuxedo Knight without taking damage</t>
  </si>
  <si>
    <t>Defeat the Nightmare Reaper without taking damage</t>
  </si>
  <si>
    <t>Find the hidden switch in level 3-1</t>
  </si>
  <si>
    <t>Switch</t>
  </si>
  <si>
    <t>Find the hidden switch in level 3-6</t>
  </si>
  <si>
    <t>Find the hidden switch in level 4-1</t>
  </si>
  <si>
    <t>Find the hidden switch in level 4-3</t>
  </si>
  <si>
    <t>Find the hidden switch in level 4-6</t>
  </si>
  <si>
    <t>Find the hidden switch in level 5-1</t>
  </si>
  <si>
    <t>Find the hidden switch in level 5-4</t>
  </si>
  <si>
    <t>Find the hidden switch in level 5-5</t>
  </si>
  <si>
    <t>Find the hidden switch in level 5-6</t>
  </si>
  <si>
    <t>Find the hidden switch in level 6-1</t>
  </si>
  <si>
    <t>Find the hidden switch in level 6-2</t>
  </si>
  <si>
    <t>Find the hidden switch in level 6-3</t>
  </si>
  <si>
    <t>Find the hidden switch in level 6-4</t>
  </si>
  <si>
    <t>Find the hidden switch in level 6-5</t>
  </si>
  <si>
    <t>Find the hidden switch in level 6-6</t>
  </si>
  <si>
    <t>Find the hidden switch in level 7-1</t>
  </si>
  <si>
    <t>Find the hidden switch in level 7-6</t>
  </si>
  <si>
    <t>Normal Game Speedrun</t>
  </si>
  <si>
    <t>Extra Game Speedrun</t>
  </si>
  <si>
    <t>Normal Pumpkin Prairie Speedrun</t>
  </si>
  <si>
    <t>Normal Spooky Seaside Speedrun</t>
  </si>
  <si>
    <t>Normal Terror Tower Speedrun</t>
  </si>
  <si>
    <t>Normal Skull Street Speedrun</t>
  </si>
  <si>
    <t>Normal Mount Mist Speedrun</t>
  </si>
  <si>
    <t>Normal Hades Harbor Speedrun</t>
  </si>
  <si>
    <t>Normal Ghostly Graves Speedrun</t>
  </si>
  <si>
    <t>Extra Pumpkin Prairie Speedrun</t>
  </si>
  <si>
    <t>Extra Spooky Seaside Speedrun</t>
  </si>
  <si>
    <t>Extra Terror Tower Speedrun</t>
  </si>
  <si>
    <t>Extra Skull Street Speedrun</t>
  </si>
  <si>
    <t>Extra Mount Mist Speedrun</t>
  </si>
  <si>
    <t>Extra Hades Harbor Speedrun</t>
  </si>
  <si>
    <t>Extra Ghostly Graves Speedrun</t>
  </si>
  <si>
    <t>Fastest time to beat Pumpkin Prairie on normal mode</t>
  </si>
  <si>
    <t>Fastest time to beat Pumpkin Prairie on extra mode</t>
  </si>
  <si>
    <t>Fastest time to beat Spooky Seaside on extra mode</t>
  </si>
  <si>
    <t>Fastest time to beat Terror Tower on extra mode</t>
  </si>
  <si>
    <t>Fastest time to beat Mount Mist on extra mode</t>
  </si>
  <si>
    <t>Fastest time to beat Ghostly Graves on extra mode</t>
  </si>
  <si>
    <t>Fastest time to beat Spooky Seaside on normal mode</t>
  </si>
  <si>
    <t>Fastest time to beat Terror Tower on normal mode</t>
  </si>
  <si>
    <t>Fastest time to beat  Skull Street on normal mode</t>
  </si>
  <si>
    <t>Fastest time to beat Mount Mist on normal mode</t>
  </si>
  <si>
    <t>Fastest time to beat Hades Habour on normal mode</t>
  </si>
  <si>
    <t>Fastest time to beat Ghostly Graves on normal mode</t>
  </si>
  <si>
    <t>Fastest time to beat the extra game</t>
  </si>
  <si>
    <t>Fastest time to beat the normal game</t>
  </si>
  <si>
    <t>Fastest time to beat  Skull Street on extra mode</t>
  </si>
  <si>
    <t>Fastest time to beat Hades Habour on extra mode</t>
  </si>
  <si>
    <t>V.S. Boss Speedrun</t>
  </si>
  <si>
    <t>Defeat the all the bosses consecutively in V.S. Boss mode</t>
  </si>
  <si>
    <t>Fastest time to defeat the all the bosses consecutively in V.S. Boss mode</t>
  </si>
  <si>
    <t>Obtain the cutter ability</t>
  </si>
  <si>
    <t>Obtain the burning ability</t>
  </si>
  <si>
    <t>Fireball</t>
  </si>
  <si>
    <t>Obtain the b-ball ability</t>
  </si>
  <si>
    <t>Ball</t>
  </si>
  <si>
    <t>Obtain the hi-jump ability</t>
  </si>
  <si>
    <t>Obtain the wrestler ability</t>
  </si>
  <si>
    <t>I Got a Rock!</t>
  </si>
  <si>
    <t>Playing With Fire!</t>
  </si>
  <si>
    <t>Burning Man!</t>
  </si>
  <si>
    <t>Sibilance!</t>
  </si>
  <si>
    <t>Roll Out!</t>
  </si>
  <si>
    <t>Complete Pumpkin Prairie on normal</t>
  </si>
  <si>
    <t>Complete Spooky Seaside on normal</t>
  </si>
  <si>
    <t>Complete Ghostly Graves on normal</t>
  </si>
  <si>
    <t>Complete Hades Harbor on normal</t>
  </si>
  <si>
    <t>Complete Mount Mist on normal</t>
  </si>
  <si>
    <t>Complete Skull Street on normal</t>
  </si>
  <si>
    <t>Complete Terror Tower on normal</t>
  </si>
  <si>
    <t>Complete Pumpkin Prairie on extra</t>
  </si>
  <si>
    <t>Complete Spooky Seaside on extra</t>
  </si>
  <si>
    <t>Complete Terror Tower on extra</t>
  </si>
  <si>
    <t>Complete Skull Street on extra</t>
  </si>
  <si>
    <t>Complete Mount Mist on extra</t>
  </si>
  <si>
    <t>Complete Hades Harbor on extra</t>
  </si>
  <si>
    <t>Complete Ghostly Graves on extra</t>
  </si>
  <si>
    <t>Sweet Dreams!</t>
  </si>
  <si>
    <t>Everything Looks Like a Nail!</t>
  </si>
  <si>
    <t>Pins and Needles!</t>
  </si>
  <si>
    <t>Cold as Ice!</t>
  </si>
  <si>
    <t>Able to Leap Tall Buildings in a Single Bound!</t>
  </si>
  <si>
    <t>Be the Ball!</t>
  </si>
  <si>
    <t>Sharknado!</t>
  </si>
  <si>
    <t>Crash the Party!</t>
  </si>
  <si>
    <t>Lightbringer!</t>
  </si>
  <si>
    <t>Wanna Wrestle?</t>
  </si>
  <si>
    <t>Throwing Stars!</t>
  </si>
  <si>
    <t>Defeat King Dedede without taking damage or using a copy ability</t>
  </si>
  <si>
    <t>Defeat the Fire Liger in the level 6 arena without taking damage or using a copy ability</t>
  </si>
  <si>
    <t>Defeat the Bonkerstein in the level 5 arena without taking damage or using a copy ability</t>
  </si>
  <si>
    <t>Defeat the Mother Moth in the level 4 arena without taking damage or using a copy ability</t>
  </si>
  <si>
    <t>Defeat the Waiu in the level 3 arena without taking damage or using a copy ability</t>
  </si>
  <si>
    <t>Defeat the Nightmare Angel without taking damage</t>
  </si>
  <si>
    <t>Defeat the Frosty Bones in the level 2 arena without taking damage or using a copy ability</t>
  </si>
  <si>
    <t>Back Drop</t>
  </si>
  <si>
    <t>Starting from car one in level 2-4 get to car seven in XXX seconds or less</t>
  </si>
  <si>
    <t>Make it to the top of the clouds of 4-7 to fight Kracko in XXX seconds or less</t>
  </si>
  <si>
    <t>Use the wheel to get to the bottom of 3-2-5 without transforming to normal kirby (you can retry by returning to the top of the section)</t>
  </si>
  <si>
    <t>You Spin Me Right 'Round, Baby!</t>
  </si>
  <si>
    <t>High Speed Train Chase!</t>
  </si>
  <si>
    <t>Trick Wheeling!</t>
  </si>
  <si>
    <t>Rise to the Challenge!</t>
  </si>
  <si>
    <t>Trickier Wheeling!</t>
  </si>
  <si>
    <t>Fight Fire with Fire!</t>
  </si>
  <si>
    <t>Fire Walker!</t>
  </si>
  <si>
    <t>Start with or obtain the burning ability in the first section of 6-5 and keep it until the end of the level.</t>
  </si>
  <si>
    <t>Start with or obtain the tornato ability in the first section of 1-4 and keep it until the end of the level.</t>
  </si>
  <si>
    <t>Get the 1up after the lava section in level 7-4</t>
  </si>
  <si>
    <t>The Wizard Copy Ability</t>
  </si>
  <si>
    <t>Highest score in the 1st ten minutes of starting a new game</t>
  </si>
  <si>
    <t>Copy</t>
  </si>
  <si>
    <t>burning</t>
  </si>
  <si>
    <t>###</t>
  </si>
  <si>
    <t>beam, spark, fire</t>
  </si>
  <si>
    <t>cutter</t>
  </si>
  <si>
    <t>fire</t>
  </si>
  <si>
    <t>needle, tornato, ice</t>
  </si>
  <si>
    <t>first</t>
  </si>
  <si>
    <t>second</t>
  </si>
  <si>
    <t>parasol</t>
  </si>
  <si>
    <t>sword</t>
  </si>
  <si>
    <t>rock</t>
  </si>
  <si>
    <t>cutter, parasol, sword</t>
  </si>
  <si>
    <t>sword, cutter, rock</t>
  </si>
  <si>
    <t>fire, sword</t>
  </si>
  <si>
    <t>fourth</t>
  </si>
  <si>
    <t>sword, parasol</t>
  </si>
  <si>
    <t>beam</t>
  </si>
  <si>
    <t>third</t>
  </si>
  <si>
    <t>parasol, cutter</t>
  </si>
  <si>
    <t>tornado, cutter, sword</t>
  </si>
  <si>
    <t>rock, ball</t>
  </si>
  <si>
    <t>wheel, sword</t>
  </si>
  <si>
    <t>sword, freeze</t>
  </si>
  <si>
    <t>wheel</t>
  </si>
  <si>
    <t>parasol, tornado, beam</t>
  </si>
  <si>
    <t>parasol, tornado</t>
  </si>
  <si>
    <t>burning, spark</t>
  </si>
  <si>
    <t>cutter, freeze</t>
  </si>
  <si>
    <t>hammer</t>
  </si>
  <si>
    <t>ice, rock</t>
  </si>
  <si>
    <t>ice</t>
  </si>
  <si>
    <t>buring, fire</t>
  </si>
  <si>
    <t>sword, parasol, beam</t>
  </si>
  <si>
    <t>beam, sword</t>
  </si>
  <si>
    <t>sword, rock</t>
  </si>
  <si>
    <t>hi-jump</t>
  </si>
  <si>
    <t>World</t>
  </si>
  <si>
    <t>Stage</t>
  </si>
  <si>
    <t>1st Screen</t>
  </si>
  <si>
    <t>2nd Screen</t>
  </si>
  <si>
    <t>Section</t>
  </si>
  <si>
    <t>Possible</t>
  </si>
  <si>
    <t>needle</t>
  </si>
  <si>
    <t>ball</t>
  </si>
  <si>
    <t>spark</t>
  </si>
  <si>
    <t>freeze</t>
  </si>
  <si>
    <t>tornado</t>
  </si>
  <si>
    <t>Code</t>
  </si>
  <si>
    <t>0x0000</t>
  </si>
  <si>
    <t>0x0001</t>
  </si>
  <si>
    <t>0x0002</t>
  </si>
  <si>
    <t>0x0003</t>
  </si>
  <si>
    <t>0x0004</t>
  </si>
  <si>
    <t>0x0005</t>
  </si>
  <si>
    <t>0x002F</t>
  </si>
  <si>
    <t>0x0035</t>
  </si>
  <si>
    <t>0x00a9</t>
  </si>
  <si>
    <t>0x00ab</t>
  </si>
  <si>
    <t>0x00ad</t>
  </si>
  <si>
    <t>0x00cc</t>
  </si>
  <si>
    <t>0x00d3</t>
  </si>
  <si>
    <t>0x00ec</t>
  </si>
  <si>
    <t>0x0104</t>
  </si>
  <si>
    <t>0x0116</t>
  </si>
  <si>
    <t>0x0117</t>
  </si>
  <si>
    <t>0x011d</t>
  </si>
  <si>
    <t>0x0043</t>
  </si>
  <si>
    <t>0x0044</t>
  </si>
  <si>
    <t>0x0061</t>
  </si>
  <si>
    <t>0x0090</t>
  </si>
  <si>
    <t>0x0091</t>
  </si>
  <si>
    <t>0x00a3</t>
  </si>
  <si>
    <t>0x00a5</t>
  </si>
  <si>
    <t>U.F.O.</t>
  </si>
  <si>
    <t>Cut the Fuse!</t>
  </si>
  <si>
    <t>Prairie Fire!</t>
  </si>
  <si>
    <t>Beach Umbrella!</t>
  </si>
  <si>
    <t>Slash the Wheels!</t>
  </si>
  <si>
    <t>none</t>
  </si>
  <si>
    <t>throw</t>
  </si>
  <si>
    <t>wrestle</t>
  </si>
  <si>
    <t>laser</t>
  </si>
  <si>
    <t>Fire Fly!</t>
  </si>
  <si>
    <t>Show Your Claws!</t>
  </si>
  <si>
    <t>Section/Time</t>
  </si>
  <si>
    <t>mike</t>
  </si>
  <si>
    <t>sleep</t>
  </si>
  <si>
    <t>crash</t>
  </si>
  <si>
    <t>light</t>
  </si>
  <si>
    <t>mix</t>
  </si>
  <si>
    <t>It’s Alive!</t>
  </si>
  <si>
    <t>Tell ‘Em Freddy Sent Ya!</t>
  </si>
  <si>
    <t>Sword, Quench Your Thirst!</t>
  </si>
  <si>
    <t>Energy Blasts, Huh? Here’s One From a Pro!</t>
  </si>
  <si>
    <t>I’m Mary Poppin’s Y’all!</t>
  </si>
  <si>
    <t>It Came From Planet Dream Land!</t>
  </si>
  <si>
    <t>Freeze!</t>
  </si>
  <si>
    <t>Beaming!</t>
  </si>
  <si>
    <t>Obtain the rock ability</t>
  </si>
  <si>
    <t>Stone</t>
  </si>
  <si>
    <t>Shaken, Not Stirred!</t>
  </si>
  <si>
    <t>Pumpkin Prairie!</t>
  </si>
  <si>
    <t>Spooky Seaside!</t>
  </si>
  <si>
    <t>Terror Tower!</t>
  </si>
  <si>
    <t>Skull Street!</t>
  </si>
  <si>
    <t>Mount Mist!</t>
  </si>
  <si>
    <t>Hades Harbor!</t>
  </si>
  <si>
    <t>Ghostly Graves!</t>
  </si>
  <si>
    <t>Pumpkin Prairie Extra!</t>
  </si>
  <si>
    <t>Spooky Seaside Extra!</t>
  </si>
  <si>
    <t>Terror Tower Extra!</t>
  </si>
  <si>
    <t>Skull Street Extra!</t>
  </si>
  <si>
    <t>Mount Mist Extra!</t>
  </si>
  <si>
    <t>Hades Harbor Extra!</t>
  </si>
  <si>
    <t>Ghostly Graves Extra!</t>
  </si>
  <si>
    <t>Frosty Bones!</t>
  </si>
  <si>
    <t>Waiu!</t>
  </si>
  <si>
    <t>Mother Moth!</t>
  </si>
  <si>
    <t>Fire Liger!</t>
  </si>
  <si>
    <t>Bonkerstein!</t>
  </si>
  <si>
    <t>Yggy Woods Jr.!</t>
  </si>
  <si>
    <t>Adeleine!</t>
  </si>
  <si>
    <t>Retro Palace!</t>
  </si>
  <si>
    <t>Flooded Crypt!</t>
  </si>
  <si>
    <t>Midnight Swim!</t>
  </si>
  <si>
    <t>Lava Lake!</t>
  </si>
  <si>
    <t>Frozen Paradise!</t>
  </si>
  <si>
    <t>Sunken Switch!</t>
  </si>
  <si>
    <t>Rock Bottom!</t>
  </si>
  <si>
    <t>Hidden Cargo Hold!</t>
  </si>
  <si>
    <t>Storage Facility!</t>
  </si>
  <si>
    <t>Area 51!</t>
  </si>
  <si>
    <t>Twilight Desert!</t>
  </si>
  <si>
    <t>Mount Mist Waterfall!</t>
  </si>
  <si>
    <t>The Dark Corners of Skull Street!</t>
  </si>
  <si>
    <t>Haunted Airship!</t>
  </si>
  <si>
    <t>Dead Man's Eye!</t>
  </si>
  <si>
    <t>Terror Tower's Peak!</t>
  </si>
  <si>
    <t>Terror Tower's Foundation!</t>
  </si>
  <si>
    <t>Mr Bright &amp; Mr Shine!</t>
  </si>
  <si>
    <t>Heavy Mole!</t>
  </si>
  <si>
    <t>Nightmare Angel!</t>
  </si>
  <si>
    <t>Nightmare Reaper!</t>
  </si>
  <si>
    <t>The Real Boss!</t>
  </si>
  <si>
    <t>Bonus Chance!</t>
  </si>
  <si>
    <t>Crane Fever!</t>
  </si>
  <si>
    <t>Egg Catcher!</t>
  </si>
  <si>
    <t>Quick Draw!</t>
  </si>
  <si>
    <t>The Fountain of Dreams!</t>
  </si>
  <si>
    <t>Complete The Fountain of Dreams on normal</t>
  </si>
  <si>
    <t>Complete The Fountain of Dreams on extra</t>
  </si>
  <si>
    <t>The Fountain of Dreams Extra!</t>
  </si>
  <si>
    <t>Yggy Woods Jr.</t>
  </si>
  <si>
    <t>Adeleine</t>
  </si>
  <si>
    <t>Mr Bright &amp; Mr Shine</t>
  </si>
  <si>
    <t>Heavy Mole</t>
  </si>
  <si>
    <t>Nightmare Angel</t>
  </si>
  <si>
    <t>Nightmare Reaper</t>
  </si>
  <si>
    <t>Pumpkin Path</t>
  </si>
  <si>
    <t>Summit Scares</t>
  </si>
  <si>
    <t>Haunted Hills</t>
  </si>
  <si>
    <t>Fright Forest</t>
  </si>
  <si>
    <t>Skeleton Shore</t>
  </si>
  <si>
    <t>Morning Mangrove</t>
  </si>
  <si>
    <t>Sand Sea</t>
  </si>
  <si>
    <t>West Wilderness</t>
  </si>
  <si>
    <t>Colorful Caverns</t>
  </si>
  <si>
    <t>Menacing Mansion</t>
  </si>
  <si>
    <t>Aquarium Altars</t>
  </si>
  <si>
    <t>Phantom Pyramid</t>
  </si>
  <si>
    <t>Flying Fortress</t>
  </si>
  <si>
    <t>Moonlight Memories</t>
  </si>
  <si>
    <t>Titanic Tower</t>
  </si>
  <si>
    <t>Tombstone Tunnel</t>
  </si>
  <si>
    <t>Silent Streets</t>
  </si>
  <si>
    <t>Creepy Circus</t>
  </si>
  <si>
    <t>Stardust Subway</t>
  </si>
  <si>
    <t>Macabre Museums</t>
  </si>
  <si>
    <t>Fun Factory</t>
  </si>
  <si>
    <t>Kracko's Revenge</t>
  </si>
  <si>
    <t>Shivery Sierra</t>
  </si>
  <si>
    <t>Magma Mountain</t>
  </si>
  <si>
    <t>Woodland Warriors</t>
  </si>
  <si>
    <t>Tempest Traintracks</t>
  </si>
  <si>
    <t>Desolate Division</t>
  </si>
  <si>
    <t>Fear Factory</t>
  </si>
  <si>
    <t>Haunted Harbor</t>
  </si>
  <si>
    <t>Olympic Odyssey</t>
  </si>
  <si>
    <t>Sunken Shipwreck</t>
  </si>
  <si>
    <t>Eerie Ends</t>
  </si>
  <si>
    <t>Thermal Temple</t>
  </si>
  <si>
    <t>Pirate Poltergeist</t>
  </si>
  <si>
    <t>Tuxedo Meta Knight</t>
  </si>
  <si>
    <t>Grassland Graveyard</t>
  </si>
  <si>
    <t>Abstract Arts</t>
  </si>
  <si>
    <t>Sinister Shadows</t>
  </si>
  <si>
    <t>Enchanted Express</t>
  </si>
  <si>
    <t>Rainbow Islands</t>
  </si>
  <si>
    <t>Concerto Dedede</t>
  </si>
  <si>
    <t>Concerto Dedede!</t>
  </si>
  <si>
    <t>Tuxedo Meta Knight!</t>
  </si>
  <si>
    <t>Overworld</t>
  </si>
  <si>
    <t>Screen 1</t>
  </si>
  <si>
    <t>Screen 2</t>
  </si>
  <si>
    <t>Screen 3</t>
  </si>
  <si>
    <t>Screen 4</t>
  </si>
  <si>
    <t>Screen 5</t>
  </si>
  <si>
    <t>Screen 6</t>
  </si>
  <si>
    <t>Screen 7</t>
  </si>
  <si>
    <t>Screen 8</t>
  </si>
  <si>
    <t>Screen 9</t>
  </si>
  <si>
    <t>Combo</t>
  </si>
  <si>
    <t>Name</t>
  </si>
  <si>
    <t>0xe</t>
  </si>
  <si>
    <t>End Function</t>
  </si>
  <si>
    <t>BonusJump()</t>
  </si>
  <si>
    <t>0x00</t>
  </si>
  <si>
    <t>0x0e</t>
  </si>
  <si>
    <t>0x2b</t>
  </si>
  <si>
    <t>0x2c</t>
  </si>
  <si>
    <t>0x15</t>
  </si>
  <si>
    <t>0x2d</t>
  </si>
  <si>
    <t>0x2f</t>
  </si>
  <si>
    <t>0x31</t>
  </si>
  <si>
    <t>0x32</t>
  </si>
  <si>
    <t>0x33</t>
  </si>
  <si>
    <t>0x35</t>
  </si>
  <si>
    <t>0x36</t>
  </si>
  <si>
    <t>0x34</t>
  </si>
  <si>
    <t>0x37</t>
  </si>
  <si>
    <t>0x38</t>
  </si>
  <si>
    <t>0x39</t>
  </si>
  <si>
    <t>0x3a</t>
  </si>
  <si>
    <t>0x3b</t>
  </si>
  <si>
    <t>0x3c</t>
  </si>
  <si>
    <t>0x08</t>
  </si>
  <si>
    <t>0x01</t>
  </si>
  <si>
    <t>0xa9</t>
  </si>
  <si>
    <t>0xab</t>
  </si>
  <si>
    <t>0xaa</t>
  </si>
  <si>
    <t>0xac</t>
  </si>
  <si>
    <t>0xad</t>
  </si>
  <si>
    <t>0xae</t>
  </si>
  <si>
    <t>0xaf</t>
  </si>
  <si>
    <t>0xb0</t>
  </si>
  <si>
    <t>0xb1</t>
  </si>
  <si>
    <t>0xb2</t>
  </si>
  <si>
    <t>0xb3</t>
  </si>
  <si>
    <t>0xb4</t>
  </si>
  <si>
    <t>0xb5</t>
  </si>
  <si>
    <t>0xb6</t>
  </si>
  <si>
    <t>0xb8</t>
  </si>
  <si>
    <t>0xb9</t>
  </si>
  <si>
    <t>0xba</t>
  </si>
  <si>
    <t>0xbb</t>
  </si>
  <si>
    <t>0xbc</t>
  </si>
  <si>
    <t>0xbd</t>
  </si>
  <si>
    <t>0xbe</t>
  </si>
  <si>
    <t>0xc1</t>
  </si>
  <si>
    <t>0xbf</t>
  </si>
  <si>
    <t>0xc0</t>
  </si>
  <si>
    <t>0xc2</t>
  </si>
  <si>
    <t>0xc4</t>
  </si>
  <si>
    <t>0xc5</t>
  </si>
  <si>
    <t>0x09</t>
  </si>
  <si>
    <t>0x02</t>
  </si>
  <si>
    <t>0xc6</t>
  </si>
  <si>
    <t>0xc7</t>
  </si>
  <si>
    <t>0xc9</t>
  </si>
  <si>
    <t>0xc8</t>
  </si>
  <si>
    <t>0xcb</t>
  </si>
  <si>
    <t>0xca</t>
  </si>
  <si>
    <t>0xcf</t>
  </si>
  <si>
    <t>0xcc</t>
  </si>
  <si>
    <t>0xce</t>
  </si>
  <si>
    <t>0xcd</t>
  </si>
  <si>
    <t>0xb7</t>
  </si>
  <si>
    <t>0xd0</t>
  </si>
  <si>
    <t>0xd2</t>
  </si>
  <si>
    <t>0xd3</t>
  </si>
  <si>
    <t>0xd4</t>
  </si>
  <si>
    <t>0xd8</t>
  </si>
  <si>
    <t>0xc3</t>
  </si>
  <si>
    <t>0xe3</t>
  </si>
  <si>
    <t>0x0a</t>
  </si>
  <si>
    <t>0x03</t>
  </si>
  <si>
    <t>0xec</t>
  </si>
  <si>
    <t>0xf0</t>
  </si>
  <si>
    <t>0xf3</t>
  </si>
  <si>
    <t>0x0b</t>
  </si>
  <si>
    <t>0x04</t>
  </si>
  <si>
    <t>0x0c</t>
  </si>
  <si>
    <t>0x05</t>
  </si>
  <si>
    <t>0x3d</t>
  </si>
  <si>
    <t>0x43</t>
  </si>
  <si>
    <t>0x52</t>
  </si>
  <si>
    <t>0x5c</t>
  </si>
  <si>
    <t>0x61</t>
  </si>
  <si>
    <t>0x56</t>
  </si>
  <si>
    <t>0x06</t>
  </si>
  <si>
    <t>0x6d</t>
  </si>
  <si>
    <t>0xa7</t>
  </si>
  <si>
    <t>0x7f</t>
  </si>
  <si>
    <t>0x73</t>
  </si>
  <si>
    <t>0x7e</t>
  </si>
  <si>
    <t>0x14</t>
  </si>
  <si>
    <t>0x0f</t>
  </si>
  <si>
    <t>0x10</t>
  </si>
  <si>
    <t>0xe0</t>
  </si>
  <si>
    <t>0xd1</t>
  </si>
  <si>
    <t>0xd6</t>
  </si>
  <si>
    <t>0xe6</t>
  </si>
  <si>
    <t>0xf6</t>
  </si>
  <si>
    <t>0xd5</t>
  </si>
  <si>
    <t>0xe5</t>
  </si>
  <si>
    <t>0xf5</t>
  </si>
  <si>
    <t>0xda</t>
  </si>
  <si>
    <t>0xea</t>
  </si>
  <si>
    <t>0xfa</t>
  </si>
  <si>
    <t>0xdc</t>
  </si>
  <si>
    <t>0xfc</t>
  </si>
  <si>
    <t>0xdf</t>
  </si>
  <si>
    <t>0xd7</t>
  </si>
  <si>
    <t>0xe7</t>
  </si>
  <si>
    <t>0xf7</t>
  </si>
  <si>
    <t>0xdd</t>
  </si>
  <si>
    <t>0xee</t>
  </si>
  <si>
    <t>0xff</t>
  </si>
  <si>
    <t>0xde</t>
  </si>
  <si>
    <t>0xa0</t>
  </si>
  <si>
    <t>0xe8</t>
  </si>
  <si>
    <t>0xe1</t>
  </si>
  <si>
    <t>0xe2</t>
  </si>
  <si>
    <t>0xe4</t>
  </si>
  <si>
    <t>0xe9</t>
  </si>
  <si>
    <t>0xf9</t>
  </si>
  <si>
    <t>0xfe</t>
  </si>
  <si>
    <t>0xeb</t>
  </si>
  <si>
    <t>0xfb</t>
  </si>
  <si>
    <t>Text</t>
  </si>
  <si>
    <t>fifth</t>
  </si>
  <si>
    <t>sixth</t>
  </si>
  <si>
    <t>seventh</t>
  </si>
  <si>
    <t>ninth</t>
  </si>
  <si>
    <t>eighth</t>
  </si>
  <si>
    <t>0xed</t>
  </si>
  <si>
    <t>0x4d</t>
  </si>
  <si>
    <t>0x5d</t>
  </si>
  <si>
    <t>0xef</t>
  </si>
  <si>
    <t>0x3f</t>
  </si>
  <si>
    <t>0x4f</t>
  </si>
  <si>
    <t>0x5f</t>
  </si>
  <si>
    <t>0x6f</t>
  </si>
  <si>
    <t>0xf1</t>
  </si>
  <si>
    <t>0xf2</t>
  </si>
  <si>
    <t>0xf8</t>
  </si>
  <si>
    <t>Screen 10</t>
  </si>
  <si>
    <t>Screen 11</t>
  </si>
  <si>
    <t>Screen 12</t>
  </si>
  <si>
    <t>Screen 13</t>
  </si>
  <si>
    <t>Screen 14</t>
  </si>
  <si>
    <t>Screen 15</t>
  </si>
  <si>
    <t>Screen 16</t>
  </si>
  <si>
    <t>Screen 17</t>
  </si>
  <si>
    <t>0x53</t>
  </si>
  <si>
    <t>0x45</t>
  </si>
  <si>
    <t>0x65</t>
  </si>
  <si>
    <t>0x62</t>
  </si>
  <si>
    <t>0x66</t>
  </si>
  <si>
    <t>0x4c</t>
  </si>
  <si>
    <t>0x48</t>
  </si>
  <si>
    <t>0x58</t>
  </si>
  <si>
    <t>0x5e</t>
  </si>
  <si>
    <t>0x3e</t>
  </si>
  <si>
    <t>0x67</t>
  </si>
  <si>
    <t>0x77</t>
  </si>
  <si>
    <t>0x54</t>
  </si>
  <si>
    <t>0x74</t>
  </si>
  <si>
    <t>0x75</t>
  </si>
  <si>
    <t>0x76</t>
  </si>
  <si>
    <t>0x79</t>
  </si>
  <si>
    <t>0x7a</t>
  </si>
  <si>
    <t>0x40</t>
  </si>
  <si>
    <t>0x44</t>
  </si>
  <si>
    <t>0xa6</t>
  </si>
  <si>
    <t>0xa8</t>
  </si>
  <si>
    <t>0x47</t>
  </si>
  <si>
    <t>0x57</t>
  </si>
  <si>
    <t>0x51</t>
  </si>
  <si>
    <t>0xa1</t>
  </si>
  <si>
    <t>0x4a</t>
  </si>
  <si>
    <t>0x4e</t>
  </si>
  <si>
    <t>0x72</t>
  </si>
  <si>
    <t>0x82</t>
  </si>
  <si>
    <t>0x64</t>
  </si>
  <si>
    <t>0xa4</t>
  </si>
  <si>
    <t>0x6e</t>
  </si>
  <si>
    <t>0x84</t>
  </si>
  <si>
    <t>0x80</t>
  </si>
  <si>
    <t>0x81</t>
  </si>
  <si>
    <t>0x83</t>
  </si>
  <si>
    <t>0x90</t>
  </si>
  <si>
    <t>0x91</t>
  </si>
  <si>
    <t>Cosmic Callbacks</t>
  </si>
  <si>
    <t>0x92</t>
  </si>
  <si>
    <t>0x93</t>
  </si>
  <si>
    <t>0x95</t>
  </si>
  <si>
    <t>0x8d</t>
  </si>
  <si>
    <t>0x94</t>
  </si>
  <si>
    <t>0x96</t>
  </si>
  <si>
    <t>0x97</t>
  </si>
  <si>
    <t>0x98</t>
  </si>
  <si>
    <t>0x99</t>
  </si>
  <si>
    <t>0xa5</t>
  </si>
  <si>
    <t>0xa3</t>
  </si>
  <si>
    <t>0x9a</t>
  </si>
  <si>
    <t>0x9b</t>
  </si>
  <si>
    <t>0x9c</t>
  </si>
  <si>
    <t>0x9d</t>
  </si>
  <si>
    <t>0x9e</t>
  </si>
  <si>
    <t>0x9f</t>
  </si>
  <si>
    <t>Kracko's Revenge!</t>
  </si>
  <si>
    <t>World-1</t>
  </si>
  <si>
    <t>Stage -1</t>
  </si>
  <si>
    <t>0x101</t>
  </si>
  <si>
    <t>0x103</t>
  </si>
  <si>
    <t>0x102</t>
  </si>
  <si>
    <t>0x107</t>
  </si>
  <si>
    <t>0x106</t>
  </si>
  <si>
    <t>0x104</t>
  </si>
  <si>
    <t>0x105</t>
  </si>
  <si>
    <t>0x110</t>
  </si>
  <si>
    <t>0x109</t>
  </si>
  <si>
    <t>0x108</t>
  </si>
  <si>
    <t>0x10a</t>
  </si>
  <si>
    <t>0x10b</t>
  </si>
  <si>
    <t>0x10c</t>
  </si>
  <si>
    <t>0x10f</t>
  </si>
  <si>
    <t>0x10d</t>
  </si>
  <si>
    <t>0x111</t>
  </si>
  <si>
    <t>0x113</t>
  </si>
  <si>
    <t>0x114</t>
  </si>
  <si>
    <t>0x112</t>
  </si>
  <si>
    <t>0x115</t>
  </si>
  <si>
    <t>0x116</t>
  </si>
  <si>
    <t>0x117</t>
  </si>
  <si>
    <t>0x11c</t>
  </si>
  <si>
    <t>0x118</t>
  </si>
  <si>
    <t>0x11b</t>
  </si>
  <si>
    <t>0x11a</t>
  </si>
  <si>
    <t>0x11d</t>
  </si>
  <si>
    <t>0x11e</t>
  </si>
  <si>
    <t>0x11f</t>
  </si>
  <si>
    <t>0x120</t>
  </si>
  <si>
    <t>0x122</t>
  </si>
  <si>
    <t>0x123</t>
  </si>
  <si>
    <t>0x125</t>
  </si>
  <si>
    <t>0x126</t>
  </si>
  <si>
    <t>0x127</t>
  </si>
  <si>
    <t>0x128</t>
  </si>
  <si>
    <t>0x124</t>
  </si>
  <si>
    <t>0x129</t>
  </si>
  <si>
    <t>0x12a</t>
  </si>
  <si>
    <t>0x130</t>
  </si>
  <si>
    <t>0x12f</t>
  </si>
  <si>
    <t>0x12e</t>
  </si>
  <si>
    <t>0x12d</t>
  </si>
  <si>
    <t>0x12b</t>
  </si>
  <si>
    <t>0x131</t>
  </si>
  <si>
    <t>0x132</t>
  </si>
  <si>
    <t>0x134</t>
  </si>
  <si>
    <t>0x133</t>
  </si>
  <si>
    <t>0x136</t>
  </si>
  <si>
    <t>0x100</t>
  </si>
  <si>
    <t>VS. Boss</t>
  </si>
  <si>
    <t>Normal/Extra</t>
  </si>
  <si>
    <t>0x6c</t>
  </si>
  <si>
    <t>Get 4 lives in the crane fever bonus on any difficulty</t>
  </si>
  <si>
    <t>Get 3 lives in the egg catcher bonus on any difficulty</t>
  </si>
  <si>
    <t>Get 3 lives in the quick draw bonus on any difficulty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</si>
</sst>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0" borderId="0" xfId="0" applyFill="1"/>
    <xf numFmtId="0" fontId="1" fillId="0" borderId="0" xfId="0" applyFont="1" applyFill="1"/>
    <xf numFmtId="0" fontId="0" fillId="0" borderId="0" xfId="0"/>
    <xf numFmtId="0" fontId="1" fillId="0" borderId="0" xfId="0" applyFont="1" applyFill="1" applyAlignment="1">
      <alignment horizontal="left" vertical="center"/>
    </xf>
    <xf numFmtId="21" fontId="0" fillId="0" borderId="0" xfId="0" applyNumberFormat="1" applyFill="1"/>
    <xf numFmtId="0" fontId="0" fillId="0" borderId="0" xfId="0" quotePrefix="1" applyFill="1"/>
    <xf numFmtId="16" fontId="0" fillId="0" borderId="0" xfId="0" quotePrefix="1" applyNumberFormat="1" applyFill="1"/>
    <xf numFmtId="0" fontId="0" fillId="0" borderId="0" xfId="0" quotePrefix="1" applyNumberFormat="1" applyFill="1"/>
    <xf numFmtId="0" fontId="1" fillId="0" borderId="0" xfId="0" applyNumberFormat="1" applyFont="1" applyFill="1"/>
    <xf numFmtId="0" fontId="2" fillId="0" borderId="0" xfId="0" quotePrefix="1" applyNumberFormat="1" applyFont="1" applyFill="1"/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D9BDD"/>
      <color rgb="FFAD59C7"/>
      <color rgb="FFA66BD3"/>
      <color rgb="FFB776D4"/>
      <color rgb="FFB973C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~Hack~%20Kirby's%20Halloween%20Adventure%20-%20Plan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hievements"/>
      <sheetName val="Extras"/>
      <sheetName val="Leaderboards"/>
      <sheetName val="Levels"/>
      <sheetName val="Checklist"/>
      <sheetName val="Text"/>
      <sheetName val="Stats"/>
      <sheetName val="Game De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6"/>
  <sheetViews>
    <sheetView tabSelected="1" topLeftCell="D43" zoomScaleNormal="100" workbookViewId="0">
      <selection activeCell="F66" sqref="F66"/>
    </sheetView>
  </sheetViews>
  <sheetFormatPr defaultRowHeight="15" x14ac:dyDescent="0.25"/>
  <cols>
    <col min="1" max="1" width="4.85546875" style="7" customWidth="1"/>
    <col min="2" max="2" width="10.85546875" style="7" bestFit="1" customWidth="1"/>
    <col min="3" max="3" width="69.28515625" style="5" bestFit="1" customWidth="1"/>
    <col min="4" max="4" width="11.42578125" customWidth="1"/>
    <col min="5" max="5" width="8.42578125" customWidth="1"/>
    <col min="6" max="6" width="129.85546875" style="5" bestFit="1" customWidth="1"/>
    <col min="7" max="7" width="6.7109375" style="5" bestFit="1" customWidth="1"/>
    <col min="8" max="8" width="9.85546875" bestFit="1" customWidth="1"/>
    <col min="9" max="9" width="10" style="7" bestFit="1" customWidth="1"/>
    <col min="10" max="10" width="9.85546875" customWidth="1"/>
    <col min="11" max="11" width="21.85546875" bestFit="1" customWidth="1"/>
  </cols>
  <sheetData>
    <row r="1" spans="1:9" x14ac:dyDescent="0.25">
      <c r="A1" s="7" t="s">
        <v>176</v>
      </c>
      <c r="B1" s="2" t="s">
        <v>15</v>
      </c>
      <c r="C1" s="6" t="s">
        <v>1</v>
      </c>
      <c r="D1" s="1" t="s">
        <v>29</v>
      </c>
      <c r="E1" s="1" t="s">
        <v>3</v>
      </c>
      <c r="F1" s="6" t="s">
        <v>2</v>
      </c>
      <c r="G1" s="6"/>
      <c r="H1" s="1" t="s">
        <v>7</v>
      </c>
      <c r="I1" s="1"/>
    </row>
    <row r="2" spans="1:9" s="7" customFormat="1" x14ac:dyDescent="0.25">
      <c r="A2" s="7">
        <v>1</v>
      </c>
      <c r="B2" s="8" t="s">
        <v>48</v>
      </c>
      <c r="C2" s="5" t="s">
        <v>122</v>
      </c>
      <c r="D2" s="5" t="s">
        <v>8</v>
      </c>
      <c r="E2" s="7">
        <f>VLOOKUP(D2,Stats!$A$1:$B$10,2,FALSE)</f>
        <v>1</v>
      </c>
      <c r="F2" s="5" t="s">
        <v>31</v>
      </c>
      <c r="G2" s="5"/>
      <c r="H2" s="5"/>
      <c r="I2" s="5"/>
    </row>
    <row r="3" spans="1:9" s="7" customFormat="1" x14ac:dyDescent="0.25">
      <c r="A3" s="7">
        <v>2</v>
      </c>
      <c r="B3" s="8" t="s">
        <v>48</v>
      </c>
      <c r="C3" s="5" t="s">
        <v>265</v>
      </c>
      <c r="D3" s="5" t="s">
        <v>8</v>
      </c>
      <c r="E3" s="7">
        <f>VLOOKUP(D3,Stats!$A$1:$B$10,2,FALSE)</f>
        <v>1</v>
      </c>
      <c r="F3" s="5" t="s">
        <v>32</v>
      </c>
      <c r="G3" s="5"/>
      <c r="H3" s="5"/>
      <c r="I3" s="5"/>
    </row>
    <row r="4" spans="1:9" s="7" customFormat="1" x14ac:dyDescent="0.25">
      <c r="A4" s="7">
        <v>3</v>
      </c>
      <c r="B4" s="8" t="s">
        <v>48</v>
      </c>
      <c r="C4" s="5" t="s">
        <v>266</v>
      </c>
      <c r="D4" s="5" t="s">
        <v>8</v>
      </c>
      <c r="E4" s="7">
        <f>VLOOKUP(D4,Stats!$A$1:$B$10,2,FALSE)</f>
        <v>1</v>
      </c>
      <c r="F4" s="5" t="s">
        <v>114</v>
      </c>
      <c r="G4" s="5"/>
      <c r="H4" s="5"/>
      <c r="I4" s="5"/>
    </row>
    <row r="5" spans="1:9" s="7" customFormat="1" x14ac:dyDescent="0.25">
      <c r="A5" s="7">
        <v>4</v>
      </c>
      <c r="B5" s="8" t="s">
        <v>48</v>
      </c>
      <c r="C5" s="5" t="s">
        <v>267</v>
      </c>
      <c r="D5" s="5" t="s">
        <v>8</v>
      </c>
      <c r="E5" s="7">
        <f>VLOOKUP(D5,Stats!$A$1:$B$10,2,FALSE)</f>
        <v>1</v>
      </c>
      <c r="F5" s="5" t="s">
        <v>33</v>
      </c>
      <c r="G5" s="5"/>
      <c r="H5" s="5"/>
      <c r="I5" s="5"/>
    </row>
    <row r="6" spans="1:9" s="7" customFormat="1" x14ac:dyDescent="0.25">
      <c r="A6" s="7">
        <v>5</v>
      </c>
      <c r="B6" s="8" t="s">
        <v>48</v>
      </c>
      <c r="C6" s="5" t="s">
        <v>123</v>
      </c>
      <c r="D6" s="5" t="s">
        <v>8</v>
      </c>
      <c r="E6" s="7">
        <f>VLOOKUP(D6,Stats!$A$1:$B$10,2,FALSE)</f>
        <v>1</v>
      </c>
      <c r="F6" s="5" t="s">
        <v>115</v>
      </c>
      <c r="G6" s="5"/>
      <c r="H6" s="5" t="s">
        <v>116</v>
      </c>
      <c r="I6" s="5"/>
    </row>
    <row r="7" spans="1:9" s="7" customFormat="1" x14ac:dyDescent="0.25">
      <c r="A7" s="7">
        <v>6</v>
      </c>
      <c r="B7" s="8" t="s">
        <v>48</v>
      </c>
      <c r="C7" s="5" t="s">
        <v>268</v>
      </c>
      <c r="D7" s="5" t="s">
        <v>8</v>
      </c>
      <c r="E7" s="7">
        <f>VLOOKUP(D7,Stats!$A$1:$B$10,2,FALSE)</f>
        <v>1</v>
      </c>
      <c r="F7" s="5" t="s">
        <v>34</v>
      </c>
      <c r="G7" s="5"/>
      <c r="H7" s="5"/>
      <c r="I7" s="5"/>
    </row>
    <row r="8" spans="1:9" s="7" customFormat="1" x14ac:dyDescent="0.25">
      <c r="A8" s="7">
        <v>7</v>
      </c>
      <c r="B8" s="8" t="s">
        <v>48</v>
      </c>
      <c r="C8" s="5" t="s">
        <v>124</v>
      </c>
      <c r="D8" s="5" t="s">
        <v>8</v>
      </c>
      <c r="E8" s="7">
        <f>VLOOKUP(D8,Stats!$A$1:$B$10,2,FALSE)</f>
        <v>1</v>
      </c>
      <c r="F8" s="5" t="s">
        <v>35</v>
      </c>
      <c r="G8" s="5"/>
      <c r="H8" s="5"/>
      <c r="I8" s="5"/>
    </row>
    <row r="9" spans="1:9" s="7" customFormat="1" x14ac:dyDescent="0.25">
      <c r="A9" s="7">
        <v>8</v>
      </c>
      <c r="B9" s="8" t="s">
        <v>48</v>
      </c>
      <c r="C9" s="5" t="s">
        <v>125</v>
      </c>
      <c r="D9" s="5" t="s">
        <v>8</v>
      </c>
      <c r="E9" s="7">
        <f>VLOOKUP(D9,Stats!$A$1:$B$10,2,FALSE)</f>
        <v>1</v>
      </c>
      <c r="F9" s="5" t="s">
        <v>36</v>
      </c>
      <c r="G9" s="5"/>
      <c r="H9" s="5"/>
      <c r="I9" s="5"/>
    </row>
    <row r="10" spans="1:9" s="7" customFormat="1" x14ac:dyDescent="0.25">
      <c r="A10" s="7">
        <v>9</v>
      </c>
      <c r="B10" s="8" t="s">
        <v>48</v>
      </c>
      <c r="C10" s="5" t="s">
        <v>141</v>
      </c>
      <c r="D10" s="5" t="s">
        <v>8</v>
      </c>
      <c r="E10" s="7">
        <f>VLOOKUP(D10,Stats!$A$1:$B$10,2,FALSE)</f>
        <v>1</v>
      </c>
      <c r="F10" s="5" t="s">
        <v>37</v>
      </c>
      <c r="G10" s="5"/>
      <c r="H10" s="5"/>
      <c r="I10" s="5"/>
    </row>
    <row r="11" spans="1:9" s="7" customFormat="1" x14ac:dyDescent="0.25">
      <c r="A11" s="7">
        <v>10</v>
      </c>
      <c r="B11" s="8" t="s">
        <v>48</v>
      </c>
      <c r="C11" s="5" t="s">
        <v>269</v>
      </c>
      <c r="D11" s="5" t="s">
        <v>8</v>
      </c>
      <c r="E11" s="7">
        <f>VLOOKUP(D11,Stats!$A$1:$B$10,2,FALSE)</f>
        <v>1</v>
      </c>
      <c r="F11" s="5" t="s">
        <v>38</v>
      </c>
      <c r="G11" s="5"/>
      <c r="H11" s="5"/>
      <c r="I11" s="5"/>
    </row>
    <row r="12" spans="1:9" x14ac:dyDescent="0.25">
      <c r="A12" s="7">
        <v>11</v>
      </c>
      <c r="B12" s="8" t="s">
        <v>48</v>
      </c>
      <c r="C12" s="5" t="s">
        <v>140</v>
      </c>
      <c r="D12" s="5" t="s">
        <v>8</v>
      </c>
      <c r="E12" s="7">
        <f>VLOOKUP(D12,Stats!$A$1:$B$10,2,FALSE)</f>
        <v>1</v>
      </c>
      <c r="F12" s="5" t="s">
        <v>39</v>
      </c>
      <c r="H12" s="5"/>
      <c r="I12" s="5"/>
    </row>
    <row r="13" spans="1:9" x14ac:dyDescent="0.25">
      <c r="A13" s="7">
        <v>12</v>
      </c>
      <c r="B13" s="8" t="s">
        <v>48</v>
      </c>
      <c r="C13" s="5" t="s">
        <v>142</v>
      </c>
      <c r="D13" s="5" t="s">
        <v>8</v>
      </c>
      <c r="E13" s="7">
        <f>VLOOKUP(D13,Stats!$A$1:$B$10,2,FALSE)</f>
        <v>1</v>
      </c>
      <c r="F13" s="5" t="s">
        <v>40</v>
      </c>
      <c r="H13" s="5"/>
      <c r="I13" s="5"/>
    </row>
    <row r="14" spans="1:9" x14ac:dyDescent="0.25">
      <c r="A14" s="7">
        <v>13</v>
      </c>
      <c r="B14" s="8" t="s">
        <v>48</v>
      </c>
      <c r="C14" s="5" t="s">
        <v>143</v>
      </c>
      <c r="D14" s="5" t="s">
        <v>8</v>
      </c>
      <c r="E14" s="7">
        <f>VLOOKUP(D14,Stats!$A$1:$B$10,2,FALSE)</f>
        <v>1</v>
      </c>
      <c r="F14" s="5" t="s">
        <v>41</v>
      </c>
      <c r="H14" s="5"/>
      <c r="I14" s="5"/>
    </row>
    <row r="15" spans="1:9" s="7" customFormat="1" x14ac:dyDescent="0.25">
      <c r="A15" s="7">
        <v>14</v>
      </c>
      <c r="B15" s="8" t="s">
        <v>48</v>
      </c>
      <c r="C15" s="5" t="s">
        <v>271</v>
      </c>
      <c r="D15" s="5" t="s">
        <v>8</v>
      </c>
      <c r="E15" s="7">
        <f>VLOOKUP(D15,Stats!$A$1:$B$10,2,FALSE)</f>
        <v>1</v>
      </c>
      <c r="F15" s="5" t="s">
        <v>42</v>
      </c>
      <c r="G15" s="5"/>
      <c r="H15" s="5"/>
      <c r="I15" s="5"/>
    </row>
    <row r="16" spans="1:9" s="7" customFormat="1" x14ac:dyDescent="0.25">
      <c r="A16" s="7">
        <v>15</v>
      </c>
      <c r="B16" s="8" t="s">
        <v>48</v>
      </c>
      <c r="C16" s="5" t="s">
        <v>144</v>
      </c>
      <c r="D16" s="5" t="s">
        <v>8</v>
      </c>
      <c r="E16" s="7">
        <f>VLOOKUP(D16,Stats!$A$1:$B$10,2,FALSE)</f>
        <v>1</v>
      </c>
      <c r="F16" s="5" t="s">
        <v>119</v>
      </c>
      <c r="G16" s="5"/>
      <c r="H16" s="5"/>
      <c r="I16" s="5"/>
    </row>
    <row r="17" spans="1:9" x14ac:dyDescent="0.25">
      <c r="A17" s="7">
        <v>16</v>
      </c>
      <c r="B17" s="8" t="s">
        <v>48</v>
      </c>
      <c r="C17" s="5" t="s">
        <v>272</v>
      </c>
      <c r="D17" s="5" t="s">
        <v>8</v>
      </c>
      <c r="E17" s="7">
        <f>VLOOKUP(D17,Stats!$A$1:$B$10,2,FALSE)</f>
        <v>1</v>
      </c>
      <c r="F17" s="5" t="s">
        <v>43</v>
      </c>
      <c r="H17" s="5"/>
      <c r="I17" s="5"/>
    </row>
    <row r="18" spans="1:9" x14ac:dyDescent="0.25">
      <c r="A18" s="7">
        <v>17</v>
      </c>
      <c r="B18" s="8" t="s">
        <v>48</v>
      </c>
      <c r="C18" s="5" t="s">
        <v>121</v>
      </c>
      <c r="D18" s="5" t="s">
        <v>8</v>
      </c>
      <c r="E18" s="7">
        <f>VLOOKUP(D18,Stats!$A$1:$B$10,2,FALSE)</f>
        <v>1</v>
      </c>
      <c r="F18" s="5" t="s">
        <v>273</v>
      </c>
      <c r="H18" s="5" t="s">
        <v>274</v>
      </c>
      <c r="I18" s="5"/>
    </row>
    <row r="19" spans="1:9" s="7" customFormat="1" x14ac:dyDescent="0.25">
      <c r="A19" s="7">
        <v>18</v>
      </c>
      <c r="B19" s="8" t="s">
        <v>48</v>
      </c>
      <c r="C19" s="5" t="s">
        <v>145</v>
      </c>
      <c r="D19" s="5" t="s">
        <v>8</v>
      </c>
      <c r="E19" s="7">
        <f>VLOOKUP(D19,Stats!$A$1:$B$10,2,FALSE)</f>
        <v>1</v>
      </c>
      <c r="F19" s="5" t="s">
        <v>117</v>
      </c>
      <c r="G19" s="5"/>
      <c r="H19" s="5" t="s">
        <v>118</v>
      </c>
      <c r="I19" s="5"/>
    </row>
    <row r="20" spans="1:9" s="7" customFormat="1" x14ac:dyDescent="0.25">
      <c r="A20" s="7">
        <v>19</v>
      </c>
      <c r="B20" s="8" t="s">
        <v>48</v>
      </c>
      <c r="C20" s="5" t="s">
        <v>146</v>
      </c>
      <c r="D20" s="5" t="s">
        <v>8</v>
      </c>
      <c r="E20" s="7">
        <f>VLOOKUP(D20,Stats!$A$1:$B$10,2,FALSE)</f>
        <v>1</v>
      </c>
      <c r="F20" s="5" t="s">
        <v>44</v>
      </c>
      <c r="G20" s="5"/>
      <c r="H20" s="5"/>
      <c r="I20" s="5"/>
    </row>
    <row r="21" spans="1:9" s="7" customFormat="1" x14ac:dyDescent="0.25">
      <c r="A21" s="7">
        <v>20</v>
      </c>
      <c r="B21" s="8" t="s">
        <v>48</v>
      </c>
      <c r="C21" s="5" t="s">
        <v>147</v>
      </c>
      <c r="D21" s="5" t="s">
        <v>8</v>
      </c>
      <c r="E21" s="7">
        <f>VLOOKUP(D21,Stats!$A$1:$B$10,2,FALSE)</f>
        <v>1</v>
      </c>
      <c r="F21" s="5" t="s">
        <v>45</v>
      </c>
      <c r="G21" s="5"/>
      <c r="H21" s="5"/>
      <c r="I21" s="5"/>
    </row>
    <row r="22" spans="1:9" s="7" customFormat="1" x14ac:dyDescent="0.25">
      <c r="A22" s="7">
        <v>21</v>
      </c>
      <c r="B22" s="8" t="s">
        <v>48</v>
      </c>
      <c r="C22" s="5" t="s">
        <v>148</v>
      </c>
      <c r="D22" s="5" t="s">
        <v>8</v>
      </c>
      <c r="E22" s="7">
        <f>VLOOKUP(D22,Stats!$A$1:$B$10,2,FALSE)</f>
        <v>1</v>
      </c>
      <c r="F22" s="5" t="s">
        <v>46</v>
      </c>
      <c r="G22" s="5"/>
      <c r="H22" s="5"/>
      <c r="I22" s="5"/>
    </row>
    <row r="23" spans="1:9" x14ac:dyDescent="0.25">
      <c r="A23" s="7">
        <v>22</v>
      </c>
      <c r="B23" s="8" t="s">
        <v>48</v>
      </c>
      <c r="C23" s="5" t="s">
        <v>149</v>
      </c>
      <c r="D23" s="5" t="s">
        <v>8</v>
      </c>
      <c r="E23" s="7">
        <f>VLOOKUP(D23,Stats!$A$1:$B$10,2,FALSE)</f>
        <v>1</v>
      </c>
      <c r="F23" s="5" t="s">
        <v>120</v>
      </c>
      <c r="H23" s="5" t="s">
        <v>158</v>
      </c>
      <c r="I23" s="5"/>
    </row>
    <row r="24" spans="1:9" x14ac:dyDescent="0.25">
      <c r="A24" s="7">
        <v>23</v>
      </c>
      <c r="B24" s="8" t="s">
        <v>48</v>
      </c>
      <c r="C24" s="5" t="s">
        <v>150</v>
      </c>
      <c r="D24" s="5" t="s">
        <v>8</v>
      </c>
      <c r="E24" s="7">
        <f>VLOOKUP(D24,Stats!$A$1:$B$10,2,FALSE)</f>
        <v>1</v>
      </c>
      <c r="F24" s="5" t="s">
        <v>47</v>
      </c>
      <c r="H24" s="5"/>
      <c r="I24" s="5"/>
    </row>
    <row r="25" spans="1:9" s="7" customFormat="1" x14ac:dyDescent="0.25">
      <c r="A25" s="7">
        <v>24</v>
      </c>
      <c r="B25" s="8" t="s">
        <v>48</v>
      </c>
      <c r="C25" s="5" t="s">
        <v>270</v>
      </c>
      <c r="D25" s="5" t="s">
        <v>8</v>
      </c>
      <c r="E25" s="7">
        <f>VLOOKUP(D25,Stats!$A$1:$B$10,2,FALSE)</f>
        <v>1</v>
      </c>
      <c r="F25" s="5" t="s">
        <v>49</v>
      </c>
      <c r="G25" s="5"/>
      <c r="H25" s="5"/>
      <c r="I25" s="5"/>
    </row>
    <row r="26" spans="1:9" s="7" customFormat="1" x14ac:dyDescent="0.25">
      <c r="A26" s="7">
        <v>25</v>
      </c>
      <c r="B26" s="8" t="s">
        <v>48</v>
      </c>
      <c r="C26" s="5" t="s">
        <v>275</v>
      </c>
      <c r="D26" s="5" t="s">
        <v>8</v>
      </c>
      <c r="E26" s="7">
        <f>VLOOKUP(D26,Stats!$A$1:$B$10,2,FALSE)</f>
        <v>1</v>
      </c>
      <c r="F26" s="5" t="s">
        <v>50</v>
      </c>
      <c r="G26" s="5"/>
      <c r="H26" s="5"/>
      <c r="I26" s="5"/>
    </row>
    <row r="27" spans="1:9" s="7" customFormat="1" x14ac:dyDescent="0.25">
      <c r="A27" s="7">
        <v>26</v>
      </c>
      <c r="B27" s="8" t="s">
        <v>27</v>
      </c>
      <c r="C27" s="7" t="s">
        <v>276</v>
      </c>
      <c r="D27" s="5" t="s">
        <v>11</v>
      </c>
      <c r="E27" s="7">
        <f>VLOOKUP(D27,Stats!$A$1:$B$10,2,FALSE)</f>
        <v>5</v>
      </c>
      <c r="F27" s="7" t="s">
        <v>126</v>
      </c>
      <c r="H27" s="5"/>
      <c r="I27" s="5"/>
    </row>
    <row r="28" spans="1:9" s="7" customFormat="1" x14ac:dyDescent="0.25">
      <c r="A28" s="7">
        <v>27</v>
      </c>
      <c r="B28" s="8" t="s">
        <v>27</v>
      </c>
      <c r="C28" s="7" t="s">
        <v>277</v>
      </c>
      <c r="D28" s="5" t="s">
        <v>11</v>
      </c>
      <c r="E28" s="7">
        <f>VLOOKUP(D28,Stats!$A$1:$B$10,2,FALSE)</f>
        <v>5</v>
      </c>
      <c r="F28" s="7" t="s">
        <v>127</v>
      </c>
      <c r="H28" s="5"/>
      <c r="I28" s="5"/>
    </row>
    <row r="29" spans="1:9" s="7" customFormat="1" x14ac:dyDescent="0.25">
      <c r="A29" s="7">
        <v>28</v>
      </c>
      <c r="B29" s="8" t="s">
        <v>27</v>
      </c>
      <c r="C29" s="7" t="s">
        <v>278</v>
      </c>
      <c r="D29" s="5" t="s">
        <v>11</v>
      </c>
      <c r="E29" s="7">
        <f>VLOOKUP(D29,Stats!$A$1:$B$10,2,FALSE)</f>
        <v>5</v>
      </c>
      <c r="F29" s="7" t="s">
        <v>132</v>
      </c>
      <c r="H29" s="5"/>
      <c r="I29" s="5"/>
    </row>
    <row r="30" spans="1:9" s="7" customFormat="1" x14ac:dyDescent="0.25">
      <c r="A30" s="7">
        <v>29</v>
      </c>
      <c r="B30" s="8" t="s">
        <v>27</v>
      </c>
      <c r="C30" s="7" t="s">
        <v>279</v>
      </c>
      <c r="D30" s="5" t="s">
        <v>11</v>
      </c>
      <c r="E30" s="7">
        <f>VLOOKUP(D30,Stats!$A$1:$B$10,2,FALSE)</f>
        <v>5</v>
      </c>
      <c r="F30" s="7" t="s">
        <v>131</v>
      </c>
      <c r="H30" s="5"/>
      <c r="I30" s="5"/>
    </row>
    <row r="31" spans="1:9" s="7" customFormat="1" x14ac:dyDescent="0.25">
      <c r="A31" s="7">
        <v>30</v>
      </c>
      <c r="B31" s="8" t="s">
        <v>27</v>
      </c>
      <c r="C31" s="7" t="s">
        <v>280</v>
      </c>
      <c r="D31" s="5" t="s">
        <v>11</v>
      </c>
      <c r="E31" s="7">
        <f>VLOOKUP(D31,Stats!$A$1:$B$10,2,FALSE)</f>
        <v>5</v>
      </c>
      <c r="F31" s="7" t="s">
        <v>130</v>
      </c>
      <c r="H31" s="5"/>
      <c r="I31" s="5"/>
    </row>
    <row r="32" spans="1:9" s="7" customFormat="1" x14ac:dyDescent="0.25">
      <c r="A32" s="7">
        <v>31</v>
      </c>
      <c r="B32" s="8" t="s">
        <v>27</v>
      </c>
      <c r="C32" s="7" t="s">
        <v>281</v>
      </c>
      <c r="D32" s="5" t="s">
        <v>11</v>
      </c>
      <c r="E32" s="7">
        <f>VLOOKUP(D32,Stats!$A$1:$B$10,2,FALSE)</f>
        <v>5</v>
      </c>
      <c r="F32" s="7" t="s">
        <v>129</v>
      </c>
      <c r="H32" s="5"/>
      <c r="I32" s="5"/>
    </row>
    <row r="33" spans="1:9" s="7" customFormat="1" x14ac:dyDescent="0.25">
      <c r="A33" s="7">
        <v>32</v>
      </c>
      <c r="B33" s="8" t="s">
        <v>27</v>
      </c>
      <c r="C33" s="7" t="s">
        <v>282</v>
      </c>
      <c r="D33" s="5" t="s">
        <v>11</v>
      </c>
      <c r="E33" s="7">
        <f>VLOOKUP(D33,Stats!$A$1:$B$10,2,FALSE)</f>
        <v>5</v>
      </c>
      <c r="F33" s="7" t="s">
        <v>128</v>
      </c>
      <c r="H33" s="5"/>
      <c r="I33" s="5"/>
    </row>
    <row r="34" spans="1:9" s="7" customFormat="1" x14ac:dyDescent="0.25">
      <c r="A34" s="7">
        <v>33</v>
      </c>
      <c r="B34" s="8" t="s">
        <v>27</v>
      </c>
      <c r="C34" s="7" t="s">
        <v>323</v>
      </c>
      <c r="D34" s="5" t="s">
        <v>11</v>
      </c>
      <c r="E34" s="7">
        <f>VLOOKUP(D34,Stats!$A$1:$B$10,2,FALSE)</f>
        <v>5</v>
      </c>
      <c r="F34" s="7" t="s">
        <v>324</v>
      </c>
      <c r="H34" s="5"/>
      <c r="I34" s="5"/>
    </row>
    <row r="35" spans="1:9" s="7" customFormat="1" x14ac:dyDescent="0.25">
      <c r="A35" s="7">
        <v>34</v>
      </c>
      <c r="B35" s="8" t="s">
        <v>27</v>
      </c>
      <c r="C35" s="7" t="s">
        <v>283</v>
      </c>
      <c r="D35" s="5" t="s">
        <v>12</v>
      </c>
      <c r="E35" s="7">
        <f>VLOOKUP(D35,Stats!$A$1:$B$10,2,FALSE)</f>
        <v>10</v>
      </c>
      <c r="F35" s="7" t="s">
        <v>133</v>
      </c>
      <c r="H35" s="5"/>
      <c r="I35" s="5"/>
    </row>
    <row r="36" spans="1:9" s="7" customFormat="1" x14ac:dyDescent="0.25">
      <c r="A36" s="7">
        <v>35</v>
      </c>
      <c r="B36" s="8" t="s">
        <v>27</v>
      </c>
      <c r="C36" s="7" t="s">
        <v>284</v>
      </c>
      <c r="D36" s="5" t="s">
        <v>12</v>
      </c>
      <c r="E36" s="7">
        <f>VLOOKUP(D36,Stats!$A$1:$B$10,2,FALSE)</f>
        <v>10</v>
      </c>
      <c r="F36" s="7" t="s">
        <v>134</v>
      </c>
      <c r="H36"/>
    </row>
    <row r="37" spans="1:9" s="7" customFormat="1" x14ac:dyDescent="0.25">
      <c r="A37" s="7">
        <v>36</v>
      </c>
      <c r="B37" s="8" t="s">
        <v>27</v>
      </c>
      <c r="C37" s="7" t="s">
        <v>285</v>
      </c>
      <c r="D37" s="5" t="s">
        <v>12</v>
      </c>
      <c r="E37" s="7">
        <f>VLOOKUP(D37,Stats!$A$1:$B$10,2,FALSE)</f>
        <v>10</v>
      </c>
      <c r="F37" s="7" t="s">
        <v>135</v>
      </c>
      <c r="H37"/>
    </row>
    <row r="38" spans="1:9" s="7" customFormat="1" x14ac:dyDescent="0.25">
      <c r="A38" s="7">
        <v>37</v>
      </c>
      <c r="B38" s="8" t="s">
        <v>27</v>
      </c>
      <c r="C38" s="7" t="s">
        <v>286</v>
      </c>
      <c r="D38" s="5" t="s">
        <v>12</v>
      </c>
      <c r="E38" s="7">
        <f>VLOOKUP(D38,Stats!$A$1:$B$10,2,FALSE)</f>
        <v>10</v>
      </c>
      <c r="F38" s="7" t="s">
        <v>136</v>
      </c>
      <c r="H38" s="5"/>
      <c r="I38" s="5"/>
    </row>
    <row r="39" spans="1:9" s="7" customFormat="1" x14ac:dyDescent="0.25">
      <c r="A39" s="7">
        <v>38</v>
      </c>
      <c r="B39" s="8" t="s">
        <v>27</v>
      </c>
      <c r="C39" s="7" t="s">
        <v>287</v>
      </c>
      <c r="D39" s="5" t="s">
        <v>12</v>
      </c>
      <c r="E39" s="7">
        <f>VLOOKUP(D39,Stats!$A$1:$B$10,2,FALSE)</f>
        <v>10</v>
      </c>
      <c r="F39" s="7" t="s">
        <v>137</v>
      </c>
      <c r="H39" s="5"/>
      <c r="I39" s="5"/>
    </row>
    <row r="40" spans="1:9" s="7" customFormat="1" x14ac:dyDescent="0.25">
      <c r="A40" s="7">
        <v>39</v>
      </c>
      <c r="B40" s="8" t="s">
        <v>27</v>
      </c>
      <c r="C40" s="7" t="s">
        <v>288</v>
      </c>
      <c r="D40" s="5" t="s">
        <v>12</v>
      </c>
      <c r="E40" s="7">
        <f>VLOOKUP(D40,Stats!$A$1:$B$10,2,FALSE)</f>
        <v>10</v>
      </c>
      <c r="F40" s="7" t="s">
        <v>138</v>
      </c>
      <c r="H40" s="5"/>
      <c r="I40" s="5"/>
    </row>
    <row r="41" spans="1:9" s="7" customFormat="1" x14ac:dyDescent="0.25">
      <c r="A41" s="7">
        <v>40</v>
      </c>
      <c r="B41" s="8" t="s">
        <v>27</v>
      </c>
      <c r="C41" s="7" t="s">
        <v>289</v>
      </c>
      <c r="D41" s="5" t="s">
        <v>12</v>
      </c>
      <c r="E41" s="7">
        <f>VLOOKUP(D41,Stats!$A$1:$B$10,2,FALSE)</f>
        <v>10</v>
      </c>
      <c r="F41" s="7" t="s">
        <v>139</v>
      </c>
      <c r="H41" s="5"/>
      <c r="I41" s="5"/>
    </row>
    <row r="42" spans="1:9" s="7" customFormat="1" x14ac:dyDescent="0.25">
      <c r="A42" s="7">
        <v>41</v>
      </c>
      <c r="B42" s="8" t="s">
        <v>27</v>
      </c>
      <c r="C42" s="7" t="s">
        <v>326</v>
      </c>
      <c r="D42" s="5" t="s">
        <v>12</v>
      </c>
      <c r="E42" s="7">
        <f>VLOOKUP(D42,Stats!$A$1:$B$10,2,FALSE)</f>
        <v>10</v>
      </c>
      <c r="F42" s="7" t="s">
        <v>325</v>
      </c>
      <c r="H42" s="5"/>
      <c r="I42" s="5"/>
    </row>
    <row r="43" spans="1:9" s="7" customFormat="1" x14ac:dyDescent="0.25">
      <c r="A43" s="7">
        <v>42</v>
      </c>
      <c r="B43" s="8" t="s">
        <v>29</v>
      </c>
      <c r="C43" s="5" t="s">
        <v>290</v>
      </c>
      <c r="D43" s="5" t="s">
        <v>11</v>
      </c>
      <c r="E43" s="7">
        <f>VLOOKUP(D43,Stats!$A$1:$B$10,2,FALSE)</f>
        <v>5</v>
      </c>
      <c r="F43" s="7" t="s">
        <v>157</v>
      </c>
      <c r="H43" s="5"/>
      <c r="I43" s="5"/>
    </row>
    <row r="44" spans="1:9" s="7" customFormat="1" x14ac:dyDescent="0.25">
      <c r="A44" s="7">
        <v>43</v>
      </c>
      <c r="B44" s="8" t="s">
        <v>29</v>
      </c>
      <c r="C44" s="5" t="s">
        <v>291</v>
      </c>
      <c r="D44" s="5" t="s">
        <v>11</v>
      </c>
      <c r="E44" s="7">
        <f>VLOOKUP(D44,Stats!$A$1:$B$10,2,FALSE)</f>
        <v>5</v>
      </c>
      <c r="F44" s="7" t="s">
        <v>155</v>
      </c>
      <c r="H44" s="5"/>
      <c r="I44" s="5"/>
    </row>
    <row r="45" spans="1:9" s="7" customFormat="1" x14ac:dyDescent="0.25">
      <c r="A45" s="7">
        <v>44</v>
      </c>
      <c r="B45" s="8" t="s">
        <v>29</v>
      </c>
      <c r="C45" s="5" t="s">
        <v>292</v>
      </c>
      <c r="D45" s="5" t="s">
        <v>11</v>
      </c>
      <c r="E45" s="7">
        <f>VLOOKUP(D45,Stats!$A$1:$B$10,2,FALSE)</f>
        <v>5</v>
      </c>
      <c r="F45" s="7" t="s">
        <v>154</v>
      </c>
      <c r="H45" s="5"/>
      <c r="I45" s="5"/>
    </row>
    <row r="46" spans="1:9" s="7" customFormat="1" x14ac:dyDescent="0.25">
      <c r="A46" s="7">
        <v>45</v>
      </c>
      <c r="B46" s="8" t="s">
        <v>29</v>
      </c>
      <c r="C46" s="5" t="s">
        <v>294</v>
      </c>
      <c r="D46" s="5" t="s">
        <v>11</v>
      </c>
      <c r="E46" s="7">
        <f>VLOOKUP(D46,Stats!$A$1:$B$10,2,FALSE)</f>
        <v>5</v>
      </c>
      <c r="F46" s="7" t="s">
        <v>153</v>
      </c>
      <c r="H46" s="5"/>
      <c r="I46" s="5"/>
    </row>
    <row r="47" spans="1:9" s="7" customFormat="1" x14ac:dyDescent="0.25">
      <c r="A47" s="7">
        <v>46</v>
      </c>
      <c r="B47" s="8" t="s">
        <v>29</v>
      </c>
      <c r="C47" s="5" t="s">
        <v>293</v>
      </c>
      <c r="D47" s="5" t="s">
        <v>11</v>
      </c>
      <c r="E47" s="7">
        <f>VLOOKUP(D47,Stats!$A$1:$B$10,2,FALSE)</f>
        <v>5</v>
      </c>
      <c r="F47" s="7" t="s">
        <v>152</v>
      </c>
      <c r="H47" s="5"/>
      <c r="I47" s="5"/>
    </row>
    <row r="48" spans="1:9" s="7" customFormat="1" x14ac:dyDescent="0.25">
      <c r="A48" s="7">
        <v>47</v>
      </c>
      <c r="B48" s="8" t="s">
        <v>29</v>
      </c>
      <c r="C48" s="5" t="s">
        <v>295</v>
      </c>
      <c r="D48" s="5" t="s">
        <v>11</v>
      </c>
      <c r="E48" s="7">
        <f>VLOOKUP(D48,Stats!$A$1:$B$10,2,FALSE)</f>
        <v>5</v>
      </c>
      <c r="F48" s="7" t="s">
        <v>54</v>
      </c>
      <c r="H48" s="5"/>
      <c r="I48" s="5"/>
    </row>
    <row r="49" spans="1:12" s="7" customFormat="1" x14ac:dyDescent="0.25">
      <c r="A49" s="7">
        <v>48</v>
      </c>
      <c r="B49" s="8" t="s">
        <v>29</v>
      </c>
      <c r="C49" s="5" t="s">
        <v>296</v>
      </c>
      <c r="D49" s="5" t="s">
        <v>11</v>
      </c>
      <c r="E49" s="7">
        <f>VLOOKUP(D49,Stats!$A$1:$B$10,2,FALSE)</f>
        <v>5</v>
      </c>
      <c r="F49" s="7" t="s">
        <v>55</v>
      </c>
      <c r="H49" s="5"/>
      <c r="I49" s="5"/>
    </row>
    <row r="50" spans="1:12" s="7" customFormat="1" x14ac:dyDescent="0.25">
      <c r="A50" s="7">
        <v>49</v>
      </c>
      <c r="B50" s="8" t="s">
        <v>29</v>
      </c>
      <c r="C50" s="5" t="s">
        <v>314</v>
      </c>
      <c r="D50" s="5" t="s">
        <v>11</v>
      </c>
      <c r="E50" s="7">
        <f>VLOOKUP(D50,Stats!$A$1:$B$10,2,FALSE)</f>
        <v>5</v>
      </c>
      <c r="F50" s="7" t="s">
        <v>56</v>
      </c>
      <c r="H50" s="5"/>
      <c r="I50" s="5"/>
    </row>
    <row r="51" spans="1:12" s="7" customFormat="1" x14ac:dyDescent="0.25">
      <c r="A51" s="7">
        <v>50</v>
      </c>
      <c r="B51" s="8" t="s">
        <v>29</v>
      </c>
      <c r="C51" s="5" t="s">
        <v>596</v>
      </c>
      <c r="D51" s="5" t="s">
        <v>12</v>
      </c>
      <c r="E51" s="7">
        <f>VLOOKUP(D51,Stats!$A$1:$B$10,2,FALSE)</f>
        <v>10</v>
      </c>
      <c r="F51" s="7" t="s">
        <v>57</v>
      </c>
      <c r="H51" s="5"/>
      <c r="I51" s="5"/>
    </row>
    <row r="52" spans="1:12" s="7" customFormat="1" x14ac:dyDescent="0.25">
      <c r="A52" s="7">
        <v>51</v>
      </c>
      <c r="B52" s="8" t="s">
        <v>29</v>
      </c>
      <c r="C52" s="5" t="s">
        <v>315</v>
      </c>
      <c r="D52" s="5" t="s">
        <v>12</v>
      </c>
      <c r="E52" s="7">
        <f>VLOOKUP(D52,Stats!$A$1:$B$10,2,FALSE)</f>
        <v>10</v>
      </c>
      <c r="F52" s="7" t="s">
        <v>58</v>
      </c>
      <c r="H52" s="5"/>
      <c r="I52" s="5"/>
    </row>
    <row r="53" spans="1:12" s="7" customFormat="1" x14ac:dyDescent="0.25">
      <c r="A53" s="7">
        <v>52</v>
      </c>
      <c r="B53" s="8" t="s">
        <v>29</v>
      </c>
      <c r="C53" s="7" t="s">
        <v>375</v>
      </c>
      <c r="D53" s="5" t="s">
        <v>12</v>
      </c>
      <c r="E53" s="7">
        <f>VLOOKUP(D53,Stats!$A$1:$B$10,2,FALSE)</f>
        <v>10</v>
      </c>
      <c r="F53" s="7" t="s">
        <v>59</v>
      </c>
      <c r="H53" s="5"/>
      <c r="I53" s="5"/>
    </row>
    <row r="54" spans="1:12" s="7" customFormat="1" x14ac:dyDescent="0.25">
      <c r="A54" s="7">
        <v>53</v>
      </c>
      <c r="B54" s="8" t="s">
        <v>29</v>
      </c>
      <c r="C54" s="7" t="s">
        <v>374</v>
      </c>
      <c r="D54" s="5" t="s">
        <v>12</v>
      </c>
      <c r="E54" s="7">
        <f>VLOOKUP(D54,Stats!$A$1:$B$10,2,FALSE)</f>
        <v>10</v>
      </c>
      <c r="F54" s="7" t="s">
        <v>151</v>
      </c>
      <c r="H54" s="5"/>
      <c r="I54" s="5"/>
    </row>
    <row r="55" spans="1:12" s="7" customFormat="1" x14ac:dyDescent="0.25">
      <c r="A55" s="7">
        <v>54</v>
      </c>
      <c r="B55" s="8" t="s">
        <v>29</v>
      </c>
      <c r="C55" s="5" t="s">
        <v>316</v>
      </c>
      <c r="D55" s="5" t="s">
        <v>12</v>
      </c>
      <c r="E55" s="7">
        <f>VLOOKUP(D55,Stats!$A$1:$B$10,2,FALSE)</f>
        <v>10</v>
      </c>
      <c r="F55" s="7" t="s">
        <v>156</v>
      </c>
      <c r="H55" s="5"/>
      <c r="I55" s="5"/>
    </row>
    <row r="56" spans="1:12" s="7" customFormat="1" x14ac:dyDescent="0.25">
      <c r="A56" s="7">
        <v>55</v>
      </c>
      <c r="B56" s="8" t="s">
        <v>29</v>
      </c>
      <c r="C56" s="5" t="s">
        <v>317</v>
      </c>
      <c r="D56" s="5" t="s">
        <v>12</v>
      </c>
      <c r="E56" s="7">
        <f>VLOOKUP(D56,Stats!$A$1:$B$10,2,FALSE)</f>
        <v>10</v>
      </c>
      <c r="F56" s="7" t="s">
        <v>60</v>
      </c>
      <c r="H56" s="5"/>
      <c r="I56" s="5"/>
    </row>
    <row r="57" spans="1:12" s="7" customFormat="1" x14ac:dyDescent="0.25">
      <c r="A57" s="7">
        <v>56</v>
      </c>
      <c r="B57" s="8" t="s">
        <v>29</v>
      </c>
      <c r="C57" s="5" t="s">
        <v>318</v>
      </c>
      <c r="D57" s="5" t="s">
        <v>28</v>
      </c>
      <c r="E57" s="7">
        <f>VLOOKUP(D57,Stats!$A$1:$B$10,2,FALSE)</f>
        <v>50</v>
      </c>
      <c r="F57" s="7" t="s">
        <v>112</v>
      </c>
      <c r="H57" s="5"/>
      <c r="I57" s="5"/>
    </row>
    <row r="58" spans="1:12" s="7" customFormat="1" x14ac:dyDescent="0.25">
      <c r="A58" s="7">
        <v>57</v>
      </c>
      <c r="B58" s="8" t="s">
        <v>53</v>
      </c>
      <c r="C58" s="5" t="s">
        <v>319</v>
      </c>
      <c r="D58" s="5" t="s">
        <v>9</v>
      </c>
      <c r="E58" s="7">
        <f>VLOOKUP(D58,Stats!$A$1:$B$10,2,FALSE)</f>
        <v>3</v>
      </c>
      <c r="F58" s="7" t="s">
        <v>51</v>
      </c>
      <c r="H58" s="5"/>
      <c r="I58" s="5"/>
    </row>
    <row r="59" spans="1:12" s="7" customFormat="1" x14ac:dyDescent="0.25">
      <c r="A59" s="7">
        <v>58</v>
      </c>
      <c r="B59" s="8" t="s">
        <v>53</v>
      </c>
      <c r="C59" s="5" t="s">
        <v>320</v>
      </c>
      <c r="D59" s="5" t="s">
        <v>11</v>
      </c>
      <c r="E59" s="7">
        <f>VLOOKUP(D59,Stats!$A$1:$B$10,2,FALSE)</f>
        <v>5</v>
      </c>
      <c r="F59" s="7" t="s">
        <v>652</v>
      </c>
      <c r="H59" s="5"/>
      <c r="I59" s="5"/>
    </row>
    <row r="60" spans="1:12" s="7" customFormat="1" x14ac:dyDescent="0.25">
      <c r="A60" s="7">
        <v>59</v>
      </c>
      <c r="B60" s="8" t="s">
        <v>53</v>
      </c>
      <c r="C60" s="5" t="s">
        <v>321</v>
      </c>
      <c r="D60" s="5" t="s">
        <v>11</v>
      </c>
      <c r="E60" s="7">
        <f>VLOOKUP(D60,Stats!$A$1:$B$10,2,FALSE)</f>
        <v>5</v>
      </c>
      <c r="F60" s="7" t="s">
        <v>653</v>
      </c>
      <c r="H60" s="5"/>
      <c r="I60" s="5"/>
    </row>
    <row r="61" spans="1:12" s="7" customFormat="1" x14ac:dyDescent="0.25">
      <c r="A61" s="7">
        <v>60</v>
      </c>
      <c r="B61" s="8" t="s">
        <v>53</v>
      </c>
      <c r="C61" s="5" t="s">
        <v>322</v>
      </c>
      <c r="D61" s="5" t="s">
        <v>11</v>
      </c>
      <c r="E61" s="7">
        <f>VLOOKUP(D61,Stats!$A$1:$B$10,2,FALSE)</f>
        <v>5</v>
      </c>
      <c r="F61" s="7" t="s">
        <v>654</v>
      </c>
      <c r="G61" s="1" t="s">
        <v>211</v>
      </c>
      <c r="H61" s="6" t="s">
        <v>212</v>
      </c>
      <c r="I61" s="13" t="s">
        <v>259</v>
      </c>
      <c r="J61" s="6" t="s">
        <v>48</v>
      </c>
      <c r="K61" s="6" t="s">
        <v>216</v>
      </c>
      <c r="L61" s="6" t="s">
        <v>222</v>
      </c>
    </row>
    <row r="62" spans="1:12" s="7" customFormat="1" x14ac:dyDescent="0.25">
      <c r="A62" s="7">
        <v>61</v>
      </c>
      <c r="B62" s="8" t="s">
        <v>174</v>
      </c>
      <c r="C62" s="5" t="str">
        <f>VLOOKUP("0x"&amp;G62&amp;H62,Levels!$D$2:$E$49,2) &amp; " Challenge!"</f>
        <v>Pumpkin Path Challenge!</v>
      </c>
      <c r="D62" s="5" t="s">
        <v>9</v>
      </c>
      <c r="E62" s="7">
        <f>VLOOKUP(D62,Stats!$A$1:$B$10,2,FALSE)</f>
        <v>3</v>
      </c>
      <c r="F62" s="7" t="str">
        <f>IF(I62=0,"Start with the "&amp;J62&amp;" ability in "&amp;G62&amp;"-"&amp;H62&amp;" and complete the level without losing it","Start with or obtain the "&amp;J62&amp;" ability in the "&amp;VLOOKUP(I62,Stats!$L$2:$M$11,2)&amp;" section of "&amp;G62&amp;"-"&amp;H62&amp;" and complete the level without losing it")</f>
        <v>Start with or obtain the beam ability in the first section of 1-1 and complete the level without losing it</v>
      </c>
      <c r="G62" s="7">
        <v>1</v>
      </c>
      <c r="H62" s="12">
        <v>1</v>
      </c>
      <c r="I62" s="12">
        <v>1</v>
      </c>
      <c r="J62" s="7" t="s">
        <v>191</v>
      </c>
      <c r="K62" s="7" t="s">
        <v>177</v>
      </c>
      <c r="L62" s="7" t="str">
        <f>"CopyAbility("&amp;G62&amp;","&amp;H62&amp;","&amp;I62&amp;","&amp;CHAR(34)&amp;J62&amp;CHAR(34)&amp;","&amp;E62&amp;")"</f>
        <v>CopyAbility(1,1,1,"beam",3)</v>
      </c>
    </row>
    <row r="63" spans="1:12" s="7" customFormat="1" x14ac:dyDescent="0.25">
      <c r="A63" s="7">
        <v>62</v>
      </c>
      <c r="B63" s="8" t="s">
        <v>174</v>
      </c>
      <c r="C63" s="5" t="str">
        <f>VLOOKUP("0x"&amp;G63&amp;H63,Levels!$D$2:$E$49,2) &amp; " Diet!"</f>
        <v>Summit Scares Diet!</v>
      </c>
      <c r="D63" s="5" t="s">
        <v>9</v>
      </c>
      <c r="E63" s="7">
        <f>VLOOKUP(D63,Stats!$A$1:$B$10,2,FALSE)</f>
        <v>3</v>
      </c>
      <c r="F63" s="7" t="str">
        <f>"Complete level "&amp;G63&amp;"-"&amp;H63&amp;" without swallowing anything or using copy abilities except on the first screen (items are allowed since they are nutritious)"</f>
        <v>Complete level 1-2 without swallowing anything or using copy abilities except on the first screen (items are allowed since they are nutritious)</v>
      </c>
      <c r="G63" s="7">
        <v>1</v>
      </c>
      <c r="H63" s="12">
        <v>2</v>
      </c>
      <c r="I63" s="12">
        <v>0</v>
      </c>
      <c r="K63" s="7" t="s">
        <v>178</v>
      </c>
      <c r="L63" s="7" t="str">
        <f>"Diet("&amp;G63&amp;","&amp;H63&amp;","&amp;E63&amp;")"</f>
        <v>Diet(1,2,3)</v>
      </c>
    </row>
    <row r="64" spans="1:12" s="7" customFormat="1" x14ac:dyDescent="0.25">
      <c r="A64" s="7">
        <v>63</v>
      </c>
      <c r="B64" s="8" t="s">
        <v>174</v>
      </c>
      <c r="C64" s="5" t="str">
        <f>VLOOKUP("0x"&amp;G64&amp;H64,Levels!$D$2:$E$49,2) &amp; " Race!"</f>
        <v>Haunted Hills Race!</v>
      </c>
      <c r="D64" s="5" t="s">
        <v>11</v>
      </c>
      <c r="E64" s="7">
        <f>VLOOKUP(D64,Stats!$A$1:$B$10,2,FALSE)</f>
        <v>5</v>
      </c>
      <c r="F64" s="7" t="str">
        <f>"Complete level "&amp;G64&amp;"-"&amp;H64&amp;" in " &amp;I64&amp;" seconds or less using only the " &amp; J64 &amp; " and normal copy abilities"</f>
        <v>Complete level 1-3 in 80 seconds or less using only the burning and normal copy abilities</v>
      </c>
      <c r="G64" s="7">
        <v>1</v>
      </c>
      <c r="H64" s="12">
        <v>3</v>
      </c>
      <c r="I64" s="12">
        <v>80</v>
      </c>
      <c r="J64" s="7" t="s">
        <v>175</v>
      </c>
      <c r="K64" s="7" t="s">
        <v>179</v>
      </c>
      <c r="L64" s="7" t="str">
        <f>"Race("&amp;G64&amp;","&amp;H64&amp;","&amp;I64&amp;","&amp;CHAR(34)&amp;J64&amp;CHAR(34)&amp;","&amp;E64&amp;")"</f>
        <v>Race(1,3,80,"burning",5)</v>
      </c>
    </row>
    <row r="65" spans="1:12" s="7" customFormat="1" x14ac:dyDescent="0.25">
      <c r="A65" s="7">
        <v>64</v>
      </c>
      <c r="B65" s="8" t="s">
        <v>174</v>
      </c>
      <c r="C65" s="5" t="str">
        <f>VLOOKUP("0x"&amp;G65&amp;H65,Levels!$D$2:$E$49,2) &amp; " Challenge!"</f>
        <v>Fright Forest Challenge!</v>
      </c>
      <c r="D65" s="5" t="s">
        <v>10</v>
      </c>
      <c r="E65" s="7">
        <f>VLOOKUP(D65,Stats!$A$1:$B$10,2,FALSE)</f>
        <v>4</v>
      </c>
      <c r="F65" s="7" t="str">
        <f>IF(I65=0,"Start with the "&amp;J65&amp;" ability in "&amp;G65&amp;"-"&amp;H65&amp;" and complete the level without losing it","Start with or obtain the "&amp;J65&amp;" ability in the "&amp;VLOOKUP(I65,Stats!$L$2:$M$11,2)&amp;" section of "&amp;G65&amp;"-"&amp;H65&amp;" and complete the level without losing it")</f>
        <v>Start with or obtain the needle ability in the first section of 1-4 and complete the level without losing it</v>
      </c>
      <c r="G65" s="7">
        <v>1</v>
      </c>
      <c r="H65" s="12">
        <v>4</v>
      </c>
      <c r="I65" s="12">
        <v>1</v>
      </c>
      <c r="J65" s="7" t="s">
        <v>217</v>
      </c>
      <c r="K65" s="7" t="s">
        <v>180</v>
      </c>
      <c r="L65" s="7" t="str">
        <f>"CopyAbility("&amp;G65&amp;","&amp;H65&amp;","&amp;I65&amp;","&amp;CHAR(34)&amp;J65&amp;CHAR(34)&amp;","&amp;E65&amp;")"</f>
        <v>CopyAbility(1,4,1,"needle",4)</v>
      </c>
    </row>
    <row r="66" spans="1:12" s="7" customFormat="1" x14ac:dyDescent="0.25">
      <c r="A66" s="7">
        <v>65</v>
      </c>
      <c r="B66" s="8" t="s">
        <v>174</v>
      </c>
      <c r="C66" s="5" t="str">
        <f>VLOOKUP("0x"&amp;G66&amp;H66,Levels!$D$2:$E$49,2) &amp; " Diet!"</f>
        <v>Skeleton Shore Diet!</v>
      </c>
      <c r="D66" s="5" t="s">
        <v>9</v>
      </c>
      <c r="E66" s="7">
        <f>VLOOKUP(D66,Stats!$A$1:$B$10,2,FALSE)</f>
        <v>3</v>
      </c>
      <c r="F66" s="7" t="str">
        <f>"Complete level "&amp;G66&amp;"-"&amp;H66&amp;" without swallowing anything or using copy abilities except on the first screen (items are allowed since they are nutritious)"</f>
        <v>Complete level 2-1 without swallowing anything or using copy abilities except on the first screen (items are allowed since they are nutritious)</v>
      </c>
      <c r="G66" s="7">
        <v>2</v>
      </c>
      <c r="H66" s="12">
        <v>1</v>
      </c>
      <c r="I66" s="12">
        <v>0</v>
      </c>
      <c r="K66" s="7" t="s">
        <v>183</v>
      </c>
      <c r="L66" s="7" t="str">
        <f>"Diet("&amp;G66&amp;","&amp;H66&amp;","&amp;E66&amp;")"</f>
        <v>Diet(2,1,3)</v>
      </c>
    </row>
    <row r="67" spans="1:12" s="7" customFormat="1" x14ac:dyDescent="0.25">
      <c r="A67" s="7">
        <v>66</v>
      </c>
      <c r="B67" s="8" t="s">
        <v>174</v>
      </c>
      <c r="C67" s="5" t="str">
        <f>VLOOKUP("0x"&amp;G67&amp;H67,Levels!$D$2:$E$49,2) &amp; " Race!"</f>
        <v>Morning Mangrove Race!</v>
      </c>
      <c r="D67" s="5" t="s">
        <v>11</v>
      </c>
      <c r="E67" s="7">
        <f>VLOOKUP(D67,Stats!$A$1:$B$10,2,FALSE)</f>
        <v>5</v>
      </c>
      <c r="F67" s="7" t="str">
        <f>"Complete level "&amp;G67&amp;"-"&amp;H67&amp;" in " &amp;I67&amp;" seconds or less using only the " &amp; J67 &amp; " and normal copy abilities"</f>
        <v>Complete level 2-2 in 120 seconds or less using only the wheel and normal copy abilities</v>
      </c>
      <c r="G67" s="7">
        <v>2</v>
      </c>
      <c r="H67" s="12">
        <v>2</v>
      </c>
      <c r="I67" s="12">
        <v>120</v>
      </c>
      <c r="J67" s="7" t="s">
        <v>198</v>
      </c>
      <c r="K67" s="7" t="s">
        <v>184</v>
      </c>
      <c r="L67" s="7" t="str">
        <f>"Race("&amp;G67&amp;","&amp;H67&amp;","&amp;I67&amp;","&amp;CHAR(34)&amp;J67&amp;CHAR(34)&amp;","&amp;E67&amp;")"</f>
        <v>Race(2,2,120,"wheel",5)</v>
      </c>
    </row>
    <row r="68" spans="1:12" s="7" customFormat="1" x14ac:dyDescent="0.25">
      <c r="A68" s="7">
        <v>67</v>
      </c>
      <c r="B68" s="8" t="s">
        <v>174</v>
      </c>
      <c r="C68" s="5" t="str">
        <f>VLOOKUP("0x"&amp;G68&amp;H68,Levels!$D$2:$E$49,2) &amp; " Challenge!"</f>
        <v>Sand Sea Challenge!</v>
      </c>
      <c r="D68" s="5" t="s">
        <v>12</v>
      </c>
      <c r="E68" s="7">
        <f>VLOOKUP(D68,Stats!$A$1:$B$10,2,FALSE)</f>
        <v>10</v>
      </c>
      <c r="F68" s="7" t="str">
        <f>IF(I68=0,"Start with the "&amp;J68&amp;" ability in "&amp;G68&amp;"-"&amp;H68&amp;" and complete the level without losing it","Start with or obtain the "&amp;J68&amp;" ability in the "&amp;VLOOKUP(I68,Stats!$L$2:$M$11,2)&amp;" section of "&amp;G68&amp;"-"&amp;H68&amp;" and complete the level without losing it")</f>
        <v>Start with the laser ability in 2-3 and complete the level without losing it</v>
      </c>
      <c r="G68" s="7">
        <v>2</v>
      </c>
      <c r="H68" s="12">
        <v>3</v>
      </c>
      <c r="I68" s="12">
        <v>0</v>
      </c>
      <c r="J68" s="7" t="s">
        <v>256</v>
      </c>
      <c r="K68" s="7" t="s">
        <v>185</v>
      </c>
      <c r="L68" s="7" t="str">
        <f>"CopyAbility("&amp;G68&amp;","&amp;H68&amp;","&amp;I68&amp;","&amp;CHAR(34)&amp;J68&amp;CHAR(34)&amp;","&amp;E68&amp;")"</f>
        <v>CopyAbility(2,3,0,"laser",10)</v>
      </c>
    </row>
    <row r="69" spans="1:12" s="7" customFormat="1" x14ac:dyDescent="0.25">
      <c r="A69" s="7">
        <v>68</v>
      </c>
      <c r="B69" s="8" t="s">
        <v>174</v>
      </c>
      <c r="C69" s="5" t="str">
        <f>VLOOKUP("0x"&amp;G69&amp;H69,Levels!$D$2:$E$49,2) &amp; " Challenge!"</f>
        <v>West Wilderness Challenge!</v>
      </c>
      <c r="D69" s="5" t="s">
        <v>11</v>
      </c>
      <c r="E69" s="7">
        <f>VLOOKUP(D69,Stats!$A$1:$B$10,2,FALSE)</f>
        <v>5</v>
      </c>
      <c r="F69" s="7" t="str">
        <f>IF(I69=0,"Start with the "&amp;J69&amp;" ability in "&amp;G69&amp;"-"&amp;H69&amp;" and complete the level without losing it","Start with or obtain the "&amp;J69&amp;" ability in the "&amp;VLOOKUP(I69,Stats!$L$2:$M$11,2)&amp;" section of "&amp;G69&amp;"-"&amp;H69&amp;" and complete the level without losing it")</f>
        <v>Start with or obtain the cutter ability in the first section of 2-4 and complete the level without losing it</v>
      </c>
      <c r="G69" s="7">
        <v>2</v>
      </c>
      <c r="H69" s="12">
        <v>4</v>
      </c>
      <c r="I69" s="12">
        <v>1</v>
      </c>
      <c r="J69" s="7" t="s">
        <v>178</v>
      </c>
      <c r="K69" s="7" t="s">
        <v>186</v>
      </c>
      <c r="L69" s="7" t="str">
        <f t="shared" ref="L69:L75" si="0">"CopyAbility("&amp;G69&amp;","&amp;H69&amp;","&amp;I69&amp;","&amp;CHAR(34)&amp;J69&amp;CHAR(34)&amp;","&amp;E69&amp;")"</f>
        <v>CopyAbility(2,4,1,"cutter",5)</v>
      </c>
    </row>
    <row r="70" spans="1:12" s="7" customFormat="1" x14ac:dyDescent="0.25">
      <c r="A70" s="7">
        <v>69</v>
      </c>
      <c r="B70" s="8" t="s">
        <v>174</v>
      </c>
      <c r="C70" s="5" t="str">
        <f>VLOOKUP("0x"&amp;G70&amp;H70,Levels!$D$2:$E$49,2) &amp; " Challenge!"</f>
        <v>Colorful Caverns Challenge!</v>
      </c>
      <c r="D70" s="5" t="s">
        <v>11</v>
      </c>
      <c r="E70" s="7">
        <f>VLOOKUP(D70,Stats!$A$1:$B$10,2,FALSE)</f>
        <v>5</v>
      </c>
      <c r="F70" s="7" t="str">
        <f>IF(I70=0,"Start with the "&amp;J70&amp;" ability in "&amp;G70&amp;"-"&amp;H70&amp;" and complete the level without losing it","Start with or obtain the "&amp;J70&amp;" ability in the "&amp;VLOOKUP(I70,Stats!$L$2:$M$11,2)&amp;" section of "&amp;G70&amp;"-"&amp;H70&amp;" and complete the level without losing it")</f>
        <v>Start with or obtain the sword ability in the first section of 2-5 and complete the level without losing it</v>
      </c>
      <c r="G70" s="7">
        <v>2</v>
      </c>
      <c r="H70" s="12">
        <v>5</v>
      </c>
      <c r="I70" s="12">
        <v>1</v>
      </c>
      <c r="J70" s="7" t="s">
        <v>184</v>
      </c>
      <c r="K70" s="7" t="s">
        <v>187</v>
      </c>
      <c r="L70" s="7" t="str">
        <f t="shared" si="0"/>
        <v>CopyAbility(2,5,1,"sword",5)</v>
      </c>
    </row>
    <row r="71" spans="1:12" s="7" customFormat="1" x14ac:dyDescent="0.25">
      <c r="A71" s="7">
        <v>70</v>
      </c>
      <c r="B71" s="8" t="s">
        <v>174</v>
      </c>
      <c r="C71" s="5" t="str">
        <f>VLOOKUP("0x"&amp;G71&amp;H71,Levels!$D$2:$E$49,2) &amp; " Challenge!"</f>
        <v>Menacing Mansion Challenge!</v>
      </c>
      <c r="D71" s="5" t="s">
        <v>11</v>
      </c>
      <c r="E71" s="7">
        <f>VLOOKUP(D71,Stats!$A$1:$B$10,2,FALSE)</f>
        <v>5</v>
      </c>
      <c r="F71" s="7" t="str">
        <f>IF(I71=0,"Start with the "&amp;J71&amp;" ability in "&amp;G71&amp;"-"&amp;H71&amp;" and complete the level without losing it","Start with or obtain the "&amp;J71&amp;" ability in the "&amp;VLOOKUP(I71,Stats!$L$2:$M$11,2)&amp;" section of "&amp;G71&amp;"-"&amp;H71&amp;" and complete the level without losing it")</f>
        <v>Start with or obtain the parasol ability in the first section of 3-1 and complete the level without losing it</v>
      </c>
      <c r="G71" s="7">
        <v>3</v>
      </c>
      <c r="H71" s="12">
        <v>1</v>
      </c>
      <c r="I71" s="12">
        <v>1</v>
      </c>
      <c r="J71" s="7" t="s">
        <v>183</v>
      </c>
      <c r="K71" s="7" t="s">
        <v>183</v>
      </c>
      <c r="L71" s="7" t="str">
        <f t="shared" si="0"/>
        <v>CopyAbility(3,1,1,"parasol",5)</v>
      </c>
    </row>
    <row r="72" spans="1:12" s="7" customFormat="1" x14ac:dyDescent="0.25">
      <c r="A72" s="7">
        <v>71</v>
      </c>
      <c r="B72" s="8" t="s">
        <v>174</v>
      </c>
      <c r="C72" s="5" t="str">
        <f>VLOOKUP("0x"&amp;G72&amp;H72,Levels!$D$2:$E$49,2) &amp; " Challenge!"</f>
        <v>Aquarium Altars Challenge!</v>
      </c>
      <c r="D72" s="5" t="s">
        <v>11</v>
      </c>
      <c r="E72" s="7">
        <f>VLOOKUP(D72,Stats!$A$1:$B$10,2,FALSE)</f>
        <v>5</v>
      </c>
      <c r="F72" s="7" t="str">
        <f>IF(I72=0,"Start with the "&amp;J72&amp;" ability in "&amp;G72&amp;"-"&amp;H72&amp;" and complete the level without losing it","Start with or obtain the "&amp;J72&amp;" ability in the "&amp;VLOOKUP(I72,Stats!$L$2:$M$11,2)&amp;" section of "&amp;G72&amp;"-"&amp;H72&amp;" and complete the level without losing it")</f>
        <v>Start with or obtain the fire ability in the first section of 3-2 and complete the level without losing it</v>
      </c>
      <c r="G72" s="7">
        <v>3</v>
      </c>
      <c r="H72" s="12">
        <v>2</v>
      </c>
      <c r="I72" s="12">
        <v>1</v>
      </c>
      <c r="J72" s="7" t="s">
        <v>179</v>
      </c>
      <c r="K72" s="7" t="s">
        <v>188</v>
      </c>
      <c r="L72" s="7" t="str">
        <f t="shared" si="0"/>
        <v>CopyAbility(3,2,1,"fire",5)</v>
      </c>
    </row>
    <row r="73" spans="1:12" s="7" customFormat="1" x14ac:dyDescent="0.25">
      <c r="A73" s="7">
        <v>72</v>
      </c>
      <c r="B73" s="8" t="s">
        <v>174</v>
      </c>
      <c r="C73" s="5" t="str">
        <f>VLOOKUP("0x"&amp;G73&amp;H73,Levels!$D$2:$E$49,2) &amp; " Diet!"</f>
        <v>Phantom Pyramid Diet!</v>
      </c>
      <c r="D73" s="5" t="s">
        <v>11</v>
      </c>
      <c r="E73" s="7">
        <f>VLOOKUP(D73,Stats!$A$1:$B$10,2,FALSE)</f>
        <v>5</v>
      </c>
      <c r="F73" s="7" t="str">
        <f>"Complete level "&amp;G73&amp;"-"&amp;H73&amp;" without swallowing anything or using copy abilities except on the first screen (items are allowed since they are nutritious)"</f>
        <v>Complete level 3-3 without swallowing anything or using copy abilities except on the first screen (items are allowed since they are nutritious)</v>
      </c>
      <c r="G73" s="7">
        <v>3</v>
      </c>
      <c r="H73" s="12">
        <v>3</v>
      </c>
      <c r="I73" s="12">
        <v>0</v>
      </c>
      <c r="K73" s="7" t="s">
        <v>184</v>
      </c>
      <c r="L73" s="7" t="str">
        <f>"Diet("&amp;G73&amp;","&amp;H73&amp;","&amp;E73&amp;")"</f>
        <v>Diet(3,3,5)</v>
      </c>
    </row>
    <row r="74" spans="1:12" s="7" customFormat="1" x14ac:dyDescent="0.25">
      <c r="A74" s="7">
        <v>73</v>
      </c>
      <c r="B74" s="8" t="s">
        <v>174</v>
      </c>
      <c r="C74" s="5" t="str">
        <f>VLOOKUP("0x"&amp;G74&amp;H74,Levels!$D$2:$E$49,2) &amp; " Challenge!"</f>
        <v>Flying Fortress Challenge!</v>
      </c>
      <c r="D74" s="5" t="s">
        <v>12</v>
      </c>
      <c r="E74" s="7">
        <f>VLOOKUP(D74,Stats!$A$1:$B$10,2,FALSE)</f>
        <v>10</v>
      </c>
      <c r="F74" s="7" t="str">
        <f>IF(I74=0,"Start with the "&amp;J74&amp;" ability in "&amp;G74&amp;"-"&amp;H74&amp;" and complete the level without losing it","Start with or obtain the "&amp;J74&amp;" ability in the "&amp;VLOOKUP(I74,Stats!$L$2:$M$11,2)&amp;" section of "&amp;G74&amp;"-"&amp;H74&amp;" and complete the level without losing it")</f>
        <v>Start with the throw ability in 3-4 and complete the level without losing it</v>
      </c>
      <c r="G74" s="7">
        <v>3</v>
      </c>
      <c r="H74" s="12">
        <v>4</v>
      </c>
      <c r="I74" s="12">
        <v>0</v>
      </c>
      <c r="J74" s="7" t="s">
        <v>254</v>
      </c>
      <c r="K74" s="7" t="s">
        <v>190</v>
      </c>
      <c r="L74" s="7" t="str">
        <f t="shared" si="0"/>
        <v>CopyAbility(3,4,0,"throw",10)</v>
      </c>
    </row>
    <row r="75" spans="1:12" s="7" customFormat="1" x14ac:dyDescent="0.25">
      <c r="A75" s="7">
        <v>74</v>
      </c>
      <c r="B75" s="8" t="s">
        <v>174</v>
      </c>
      <c r="C75" s="5" t="str">
        <f>VLOOKUP("0x"&amp;G75&amp;H75,Levels!$D$2:$E$49,2) &amp; " Challenge!"</f>
        <v>Moonlight Memories Challenge!</v>
      </c>
      <c r="D75" s="5" t="s">
        <v>11</v>
      </c>
      <c r="E75" s="7">
        <f>VLOOKUP(D75,Stats!$A$1:$B$10,2,FALSE)</f>
        <v>5</v>
      </c>
      <c r="F75" s="7" t="str">
        <f>IF(I75=0,"Start with the "&amp;J75&amp;" ability in "&amp;G75&amp;"-"&amp;H75&amp;" and complete the level without losing it","Start with or obtain the "&amp;J75&amp;" ability in the "&amp;VLOOKUP(I75,Stats!$L$2:$M$11,2)&amp;" section of "&amp;G75&amp;"-"&amp;H75&amp;" and complete the level without losing it")</f>
        <v>Start with or obtain the spark ability in the second section of 3-5 and complete the level without losing it</v>
      </c>
      <c r="G75" s="7">
        <v>3</v>
      </c>
      <c r="H75" s="12">
        <v>5</v>
      </c>
      <c r="I75" s="12">
        <v>2</v>
      </c>
      <c r="J75" s="7" t="s">
        <v>219</v>
      </c>
      <c r="K75" s="7" t="s">
        <v>177</v>
      </c>
      <c r="L75" s="7" t="str">
        <f t="shared" si="0"/>
        <v>CopyAbility(3,5,2,"spark",5)</v>
      </c>
    </row>
    <row r="76" spans="1:12" s="7" customFormat="1" x14ac:dyDescent="0.25">
      <c r="A76" s="7">
        <v>75</v>
      </c>
      <c r="B76" s="8" t="s">
        <v>174</v>
      </c>
      <c r="C76" s="5" t="str">
        <f>VLOOKUP("0x"&amp;G76&amp;H76,Levels!$D$2:$E$49,2) &amp; " Race!"</f>
        <v>Titanic Tower Race!</v>
      </c>
      <c r="D76" s="5" t="s">
        <v>12</v>
      </c>
      <c r="E76" s="7">
        <f>VLOOKUP(D76,Stats!$A$1:$B$10,2,FALSE)</f>
        <v>10</v>
      </c>
      <c r="F76" s="7" t="str">
        <f>"Complete level "&amp;G76&amp;"-"&amp;H76&amp;" in " &amp;I76&amp;" seconds or less using only the " &amp; J76 &amp; " and normal copy abilities"</f>
        <v>Complete level 3-6 in 300 seconds or less using only the burning and normal copy abilities</v>
      </c>
      <c r="G76" s="7">
        <v>3</v>
      </c>
      <c r="H76" s="12">
        <v>6</v>
      </c>
      <c r="I76" s="12">
        <v>300</v>
      </c>
      <c r="J76" s="7" t="s">
        <v>175</v>
      </c>
      <c r="K76" s="7" t="s">
        <v>193</v>
      </c>
      <c r="L76" s="7" t="str">
        <f>"Race("&amp;G76&amp;","&amp;H76&amp;","&amp;I76&amp;","&amp;CHAR(34)&amp;J76&amp;CHAR(34)&amp;","&amp;E76&amp;")"</f>
        <v>Race(3,6,300,"burning",10)</v>
      </c>
    </row>
    <row r="77" spans="1:12" s="7" customFormat="1" x14ac:dyDescent="0.25">
      <c r="A77" s="7">
        <v>76</v>
      </c>
      <c r="B77" s="8" t="s">
        <v>174</v>
      </c>
      <c r="C77" s="5" t="str">
        <f>VLOOKUP("0x"&amp;G77&amp;H77,Levels!$D$2:$E$49,2) &amp; " Race!"</f>
        <v>Tombstone Tunnel Race!</v>
      </c>
      <c r="D77" s="5" t="s">
        <v>12</v>
      </c>
      <c r="E77" s="7">
        <f>VLOOKUP(D77,Stats!$A$1:$B$10,2,FALSE)</f>
        <v>10</v>
      </c>
      <c r="F77" s="7" t="str">
        <f>"Complete level "&amp;G77&amp;"-"&amp;H77&amp;" in " &amp;I77&amp;" seconds or less using only the " &amp; J77 &amp; " and normal copy abilities"</f>
        <v>Complete level 4-1 in 300 seconds or less using only the tornado and normal copy abilities</v>
      </c>
      <c r="G77" s="7">
        <v>4</v>
      </c>
      <c r="H77" s="12">
        <v>1</v>
      </c>
      <c r="I77" s="12">
        <v>300</v>
      </c>
      <c r="J77" s="7" t="s">
        <v>221</v>
      </c>
      <c r="K77" s="7" t="s">
        <v>194</v>
      </c>
      <c r="L77" s="7" t="str">
        <f>"Race("&amp;G77&amp;","&amp;H77&amp;","&amp;I77&amp;","&amp;CHAR(34)&amp;J77&amp;CHAR(34)&amp;","&amp;E77&amp;")"</f>
        <v>Race(4,1,300,"tornado",10)</v>
      </c>
    </row>
    <row r="78" spans="1:12" s="7" customFormat="1" x14ac:dyDescent="0.25">
      <c r="A78" s="7">
        <v>77</v>
      </c>
      <c r="B78" s="8" t="s">
        <v>174</v>
      </c>
      <c r="C78" s="5" t="str">
        <f>VLOOKUP("0x"&amp;G78&amp;H78,Levels!$D$2:$E$49,2) &amp; " Challenge!"</f>
        <v>Silent Streets Challenge!</v>
      </c>
      <c r="D78" s="5" t="s">
        <v>12</v>
      </c>
      <c r="E78" s="7">
        <f>VLOOKUP(D78,Stats!$A$1:$B$10,2,FALSE)</f>
        <v>10</v>
      </c>
      <c r="F78" s="7" t="str">
        <f>IF(I78=0,"Start with the "&amp;J78&amp;" ability in "&amp;G78&amp;"-"&amp;H78&amp;" and complete the level without losing it","Start with or obtain the "&amp;J78&amp;" ability in the "&amp;VLOOKUP(I78,Stats!$L$2:$M$11,2)&amp;" section of "&amp;G78&amp;"-"&amp;H78&amp;" and complete the level without losing it")</f>
        <v>Start with or obtain the ball ability in the third section of 4-2 and complete the level without losing it</v>
      </c>
      <c r="G78" s="7">
        <v>4</v>
      </c>
      <c r="H78" s="12">
        <v>2</v>
      </c>
      <c r="I78" s="12">
        <v>3</v>
      </c>
      <c r="J78" s="7" t="s">
        <v>218</v>
      </c>
      <c r="K78" s="7" t="s">
        <v>195</v>
      </c>
      <c r="L78" s="7" t="str">
        <f t="shared" ref="L78:L81" si="1">"CopyAbility("&amp;G78&amp;","&amp;H78&amp;","&amp;I78&amp;","&amp;CHAR(34)&amp;J78&amp;CHAR(34)&amp;","&amp;E78&amp;")"</f>
        <v>CopyAbility(4,2,3,"ball",10)</v>
      </c>
    </row>
    <row r="79" spans="1:12" s="7" customFormat="1" x14ac:dyDescent="0.25">
      <c r="A79" s="7">
        <v>78</v>
      </c>
      <c r="B79" s="8" t="s">
        <v>174</v>
      </c>
      <c r="C79" s="5" t="str">
        <f>VLOOKUP("0x"&amp;G79&amp;H79,Levels!$D$2:$E$49,2) &amp; " Challenge!"</f>
        <v>Creepy Circus Challenge!</v>
      </c>
      <c r="D79" s="5" t="s">
        <v>11</v>
      </c>
      <c r="E79" s="7">
        <f>VLOOKUP(D79,Stats!$A$1:$B$10,2,FALSE)</f>
        <v>5</v>
      </c>
      <c r="F79" s="7" t="str">
        <f>IF(I79=0,"Start with the "&amp;J79&amp;" ability in "&amp;G79&amp;"-"&amp;H79&amp;" and complete the level without losing it","Start with or obtain the "&amp;J79&amp;" ability in the "&amp;VLOOKUP(I79,Stats!$L$2:$M$11,2)&amp;" section of "&amp;G79&amp;"-"&amp;H79&amp;" and complete the level without losing it")</f>
        <v>Start with or obtain the parasol ability in the second section of 4-3 and complete the level without losing it</v>
      </c>
      <c r="G79" s="7">
        <v>4</v>
      </c>
      <c r="H79" s="12">
        <v>3</v>
      </c>
      <c r="I79" s="12">
        <v>2</v>
      </c>
      <c r="J79" s="7" t="s">
        <v>183</v>
      </c>
      <c r="K79" s="7" t="s">
        <v>183</v>
      </c>
      <c r="L79" s="7" t="str">
        <f t="shared" si="1"/>
        <v>CopyAbility(4,3,2,"parasol",5)</v>
      </c>
    </row>
    <row r="80" spans="1:12" s="7" customFormat="1" x14ac:dyDescent="0.25">
      <c r="A80" s="7">
        <v>79</v>
      </c>
      <c r="B80" s="8" t="s">
        <v>174</v>
      </c>
      <c r="C80" s="5" t="str">
        <f>VLOOKUP("0x"&amp;G80&amp;H80,Levels!$D$2:$E$49,2) &amp; " Challenge!"</f>
        <v>Stardust Subway Challenge!</v>
      </c>
      <c r="D80" s="5" t="s">
        <v>11</v>
      </c>
      <c r="E80" s="7">
        <f>VLOOKUP(D80,Stats!$A$1:$B$10,2,FALSE)</f>
        <v>5</v>
      </c>
      <c r="F80" s="7" t="str">
        <f>IF(I80=0,"Start with the "&amp;J80&amp;" ability in "&amp;G80&amp;"-"&amp;H80&amp;" and complete the level without losing it","Start with or obtain the "&amp;J80&amp;" ability in the "&amp;VLOOKUP(I80,Stats!$L$2:$M$11,2)&amp;" section of "&amp;G80&amp;"-"&amp;H80&amp;" and complete the level without losing it")</f>
        <v>Start with or obtain the sword ability in the first section of 4-4 and complete the level without losing it</v>
      </c>
      <c r="G80" s="7">
        <v>4</v>
      </c>
      <c r="H80" s="12">
        <v>4</v>
      </c>
      <c r="I80" s="12">
        <v>1</v>
      </c>
      <c r="J80" s="7" t="s">
        <v>184</v>
      </c>
      <c r="K80" s="7" t="s">
        <v>196</v>
      </c>
      <c r="L80" s="7" t="str">
        <f t="shared" si="1"/>
        <v>CopyAbility(4,4,1,"sword",5)</v>
      </c>
    </row>
    <row r="81" spans="1:12" s="7" customFormat="1" x14ac:dyDescent="0.25">
      <c r="A81" s="7">
        <v>80</v>
      </c>
      <c r="B81" s="8" t="s">
        <v>174</v>
      </c>
      <c r="C81" s="5" t="str">
        <f>VLOOKUP("0x"&amp;G81&amp;H81,Levels!$D$2:$E$49,2) &amp; " Challenge!"</f>
        <v>Macabre Museums Challenge!</v>
      </c>
      <c r="D81" s="5" t="s">
        <v>12</v>
      </c>
      <c r="E81" s="7">
        <f>VLOOKUP(D81,Stats!$A$1:$B$10,2,FALSE)</f>
        <v>10</v>
      </c>
      <c r="F81" s="7" t="str">
        <f>IF(I81=0,"Start with the "&amp;J81&amp;" ability in "&amp;G81&amp;"-"&amp;H81&amp;" and complete the level without losing it","Start with or obtain the "&amp;J81&amp;" ability in the "&amp;VLOOKUP(I81,Stats!$L$2:$M$11,2)&amp;" section of "&amp;G81&amp;"-"&amp;H81&amp;" and complete the level without losing it")</f>
        <v>Start with the wrestle ability in 4-5 and complete the level without losing it</v>
      </c>
      <c r="G81" s="7">
        <v>4</v>
      </c>
      <c r="H81" s="12">
        <v>5</v>
      </c>
      <c r="I81" s="12">
        <v>0</v>
      </c>
      <c r="J81" s="7" t="s">
        <v>255</v>
      </c>
      <c r="K81" s="7" t="s">
        <v>197</v>
      </c>
      <c r="L81" s="7" t="str">
        <f t="shared" si="1"/>
        <v>CopyAbility(4,5,0,"wrestle",10)</v>
      </c>
    </row>
    <row r="82" spans="1:12" s="7" customFormat="1" x14ac:dyDescent="0.25">
      <c r="A82" s="7">
        <v>81</v>
      </c>
      <c r="B82" s="8" t="s">
        <v>174</v>
      </c>
      <c r="C82" s="5" t="str">
        <f>VLOOKUP("0x"&amp;G82&amp;H82,Levels!$D$2:$E$49,2) &amp; " Diet!"</f>
        <v>Fun Factory Diet!</v>
      </c>
      <c r="D82" s="5" t="s">
        <v>11</v>
      </c>
      <c r="E82" s="7">
        <f>VLOOKUP(D82,Stats!$A$1:$B$10,2,FALSE)</f>
        <v>5</v>
      </c>
      <c r="F82" s="7" t="str">
        <f>"Complete level "&amp;G82&amp;"-"&amp;H82&amp;" without swallowing anything or using copy abilities except on the first screen (items are allowed since they are nutritious)"</f>
        <v>Complete level 4-6 without swallowing anything or using copy abilities except on the first screen (items are allowed since they are nutritious)</v>
      </c>
      <c r="G82" s="7">
        <v>4</v>
      </c>
      <c r="H82" s="12">
        <v>6</v>
      </c>
      <c r="I82" s="12">
        <v>0</v>
      </c>
      <c r="K82" s="7" t="s">
        <v>198</v>
      </c>
      <c r="L82" s="7" t="str">
        <f>"Diet("&amp;G82&amp;","&amp;H82&amp;","&amp;E82&amp;")"</f>
        <v>Diet(4,6,5)</v>
      </c>
    </row>
    <row r="83" spans="1:12" s="7" customFormat="1" x14ac:dyDescent="0.25">
      <c r="A83" s="7">
        <v>82</v>
      </c>
      <c r="B83" s="8" t="s">
        <v>174</v>
      </c>
      <c r="C83" s="5" t="str">
        <f>VLOOKUP("0x"&amp;G83&amp;H83,Levels!$D$2:$E$49,2) &amp; " Challenge!"</f>
        <v>Shivery Sierra Challenge!</v>
      </c>
      <c r="D83" s="5" t="s">
        <v>11</v>
      </c>
      <c r="E83" s="7">
        <f>VLOOKUP(D83,Stats!$A$1:$B$10,2,FALSE)</f>
        <v>5</v>
      </c>
      <c r="F83" s="7" t="str">
        <f>IF(I83=0,"Start with the "&amp;J83&amp;" ability in "&amp;G83&amp;"-"&amp;H83&amp;" and complete the level without losing it","Start with or obtain the "&amp;J83&amp;" ability in the "&amp;VLOOKUP(I83,Stats!$L$2:$M$11,2)&amp;" section of "&amp;G83&amp;"-"&amp;H83&amp;" and complete the level without losing it")</f>
        <v>Start with or obtain the beam ability in the first section of 5-1 and complete the level without losing it</v>
      </c>
      <c r="G83" s="7">
        <v>5</v>
      </c>
      <c r="H83" s="12">
        <v>1</v>
      </c>
      <c r="I83" s="12">
        <v>1</v>
      </c>
      <c r="J83" s="7" t="s">
        <v>191</v>
      </c>
      <c r="K83" s="7" t="s">
        <v>199</v>
      </c>
      <c r="L83" s="7" t="str">
        <f t="shared" ref="L83" si="2">"CopyAbility("&amp;G83&amp;","&amp;H83&amp;","&amp;I83&amp;","&amp;CHAR(34)&amp;J83&amp;CHAR(34)&amp;","&amp;E83&amp;")"</f>
        <v>CopyAbility(5,1,1,"beam",5)</v>
      </c>
    </row>
    <row r="84" spans="1:12" s="7" customFormat="1" x14ac:dyDescent="0.25">
      <c r="A84" s="7">
        <v>83</v>
      </c>
      <c r="B84" s="8" t="s">
        <v>174</v>
      </c>
      <c r="C84" s="5" t="str">
        <f>VLOOKUP("0x"&amp;G84&amp;H84,Levels!$D$2:$E$49,2) &amp; " Diet!"</f>
        <v>Magma Mountain Diet!</v>
      </c>
      <c r="D84" s="5" t="s">
        <v>11</v>
      </c>
      <c r="E84" s="7">
        <f>VLOOKUP(D84,Stats!$A$1:$B$10,2,FALSE)</f>
        <v>5</v>
      </c>
      <c r="F84" s="7" t="str">
        <f>"Complete level "&amp;G84&amp;"-"&amp;H84&amp;" without swallowing anything or using copy abilities except on the first screen (items are allowed since they are nutritious)"</f>
        <v>Complete level 5-2 without swallowing anything or using copy abilities except on the first screen (items are allowed since they are nutritious)</v>
      </c>
      <c r="G84" s="7">
        <v>5</v>
      </c>
      <c r="H84" s="12">
        <v>2</v>
      </c>
      <c r="I84" s="12">
        <v>0</v>
      </c>
      <c r="K84" s="7" t="s">
        <v>188</v>
      </c>
      <c r="L84" s="7" t="str">
        <f>"Diet("&amp;G84&amp;","&amp;H84&amp;","&amp;E84&amp;")"</f>
        <v>Diet(5,2,5)</v>
      </c>
    </row>
    <row r="85" spans="1:12" s="7" customFormat="1" x14ac:dyDescent="0.25">
      <c r="A85" s="7">
        <v>84</v>
      </c>
      <c r="B85" s="8" t="s">
        <v>174</v>
      </c>
      <c r="C85" s="5" t="str">
        <f>VLOOKUP("0x"&amp;G85&amp;H85,Levels!$D$2:$E$49,2) &amp; " Race!"</f>
        <v>Woodland Warriors Race!</v>
      </c>
      <c r="D85" s="5" t="s">
        <v>12</v>
      </c>
      <c r="E85" s="7">
        <f>VLOOKUP(D85,Stats!$A$1:$B$10,2,FALSE)</f>
        <v>10</v>
      </c>
      <c r="F85" s="7" t="str">
        <f>"Complete level "&amp;G85&amp;"-"&amp;H85&amp;" in " &amp;I85&amp;" seconds or less using only the " &amp; J85 &amp; " and normal copy abilities"</f>
        <v>Complete level 5-3 in 300 seconds or less using only the tornado and normal copy abilities</v>
      </c>
      <c r="G85" s="7">
        <v>5</v>
      </c>
      <c r="H85" s="12">
        <v>3</v>
      </c>
      <c r="I85" s="12">
        <v>300</v>
      </c>
      <c r="J85" s="7" t="s">
        <v>221</v>
      </c>
      <c r="K85" s="7" t="s">
        <v>200</v>
      </c>
      <c r="L85" s="7" t="str">
        <f>"Race("&amp;G85&amp;","&amp;H85&amp;","&amp;I85&amp;","&amp;CHAR(34)&amp;J85&amp;CHAR(34)&amp;","&amp;E85&amp;")"</f>
        <v>Race(5,3,300,"tornado",10)</v>
      </c>
    </row>
    <row r="86" spans="1:12" s="7" customFormat="1" x14ac:dyDescent="0.25">
      <c r="A86" s="7">
        <v>85</v>
      </c>
      <c r="B86" s="8" t="s">
        <v>174</v>
      </c>
      <c r="C86" s="5" t="str">
        <f>VLOOKUP("0x"&amp;G86&amp;H86,Levels!$D$2:$E$49,2) &amp; " Challenge!"</f>
        <v>Tempest Traintracks Challenge!</v>
      </c>
      <c r="D86" s="5" t="s">
        <v>11</v>
      </c>
      <c r="E86" s="7">
        <f>VLOOKUP(D86,Stats!$A$1:$B$10,2,FALSE)</f>
        <v>5</v>
      </c>
      <c r="F86" s="7" t="str">
        <f>IF(I86=0,"Start with the "&amp;J86&amp;" ability in "&amp;G86&amp;"-"&amp;H86&amp;" and complete the level without losing it","Start with or obtain the "&amp;J86&amp;" ability in the "&amp;VLOOKUP(I86,Stats!$L$2:$M$11,2)&amp;" section of "&amp;G86&amp;"-"&amp;H86&amp;" and complete the level without losing it")</f>
        <v>Start with or obtain the spark ability in the first section of 5-4 and complete the level without losing it</v>
      </c>
      <c r="G86" s="7">
        <v>5</v>
      </c>
      <c r="H86" s="12">
        <v>4</v>
      </c>
      <c r="I86" s="12">
        <v>1</v>
      </c>
      <c r="J86" s="7" t="s">
        <v>219</v>
      </c>
      <c r="K86" s="7" t="s">
        <v>201</v>
      </c>
      <c r="L86" s="7" t="str">
        <f t="shared" ref="L86:L89" si="3">"CopyAbility("&amp;G86&amp;","&amp;H86&amp;","&amp;I86&amp;","&amp;CHAR(34)&amp;J86&amp;CHAR(34)&amp;","&amp;E86&amp;")"</f>
        <v>CopyAbility(5,4,1,"spark",5)</v>
      </c>
    </row>
    <row r="87" spans="1:12" s="7" customFormat="1" x14ac:dyDescent="0.25">
      <c r="A87" s="7">
        <v>86</v>
      </c>
      <c r="B87" s="8" t="s">
        <v>174</v>
      </c>
      <c r="C87" s="5" t="str">
        <f>VLOOKUP("0x"&amp;G87&amp;H87,Levels!$D$2:$E$49,2) &amp; " Challenge!"</f>
        <v>Desolate Division Challenge!</v>
      </c>
      <c r="D87" s="5" t="s">
        <v>11</v>
      </c>
      <c r="E87" s="7">
        <f>VLOOKUP(D87,Stats!$A$1:$B$10,2,FALSE)</f>
        <v>5</v>
      </c>
      <c r="F87" s="7" t="str">
        <f>IF(I87=0,"Start with the "&amp;J87&amp;" ability in "&amp;G87&amp;"-"&amp;H87&amp;" and complete the level without losing it","Start with or obtain the "&amp;J87&amp;" ability in the "&amp;VLOOKUP(I87,Stats!$L$2:$M$11,2)&amp;" section of "&amp;G87&amp;"-"&amp;H87&amp;" and complete the level without losing it")</f>
        <v>Start with or obtain the U.F.O. ability in the first section of 5-5 and complete the level without losing it</v>
      </c>
      <c r="G87" s="7">
        <v>5</v>
      </c>
      <c r="H87" s="12">
        <v>5</v>
      </c>
      <c r="I87" s="12">
        <v>1</v>
      </c>
      <c r="J87" s="7" t="s">
        <v>248</v>
      </c>
      <c r="K87" s="7" t="s">
        <v>248</v>
      </c>
      <c r="L87" s="7" t="str">
        <f t="shared" si="3"/>
        <v>CopyAbility(5,5,1,"U.F.O.",5)</v>
      </c>
    </row>
    <row r="88" spans="1:12" s="7" customFormat="1" x14ac:dyDescent="0.25">
      <c r="A88" s="7">
        <v>87</v>
      </c>
      <c r="B88" s="8" t="s">
        <v>174</v>
      </c>
      <c r="C88" s="5" t="str">
        <f>VLOOKUP("0x"&amp;G88&amp;H88,Levels!$D$2:$E$49,2) &amp; " Challenge!"</f>
        <v>Fear Factory Challenge!</v>
      </c>
      <c r="D88" s="5" t="s">
        <v>11</v>
      </c>
      <c r="E88" s="7">
        <f>VLOOKUP(D88,Stats!$A$1:$B$10,2,FALSE)</f>
        <v>5</v>
      </c>
      <c r="F88" s="7" t="str">
        <f>IF(I88=0,"Start with the "&amp;J88&amp;" ability in "&amp;G88&amp;"-"&amp;H88&amp;" and complete the level without losing it","Start with or obtain the "&amp;J88&amp;" ability in the "&amp;VLOOKUP(I88,Stats!$L$2:$M$11,2)&amp;" section of "&amp;G88&amp;"-"&amp;H88&amp;" and complete the level without losing it")</f>
        <v>Start with or obtain the freeze ability in the first section of 5-6 and complete the level without losing it</v>
      </c>
      <c r="G88" s="7">
        <v>5</v>
      </c>
      <c r="H88" s="12">
        <v>6</v>
      </c>
      <c r="I88" s="12">
        <v>1</v>
      </c>
      <c r="J88" s="7" t="s">
        <v>220</v>
      </c>
      <c r="K88" s="7" t="s">
        <v>202</v>
      </c>
      <c r="L88" s="7" t="str">
        <f t="shared" si="3"/>
        <v>CopyAbility(5,6,1,"freeze",5)</v>
      </c>
    </row>
    <row r="89" spans="1:12" s="7" customFormat="1" x14ac:dyDescent="0.25">
      <c r="A89" s="7">
        <v>88</v>
      </c>
      <c r="B89" s="8" t="s">
        <v>174</v>
      </c>
      <c r="C89" s="5" t="str">
        <f>VLOOKUP("0x"&amp;G89&amp;H89,Levels!$D$2:$E$49,2) &amp; " Challenge!"</f>
        <v>Haunted Harbor Challenge!</v>
      </c>
      <c r="D89" s="5" t="s">
        <v>11</v>
      </c>
      <c r="E89" s="7">
        <f>VLOOKUP(D89,Stats!$A$1:$B$10,2,FALSE)</f>
        <v>5</v>
      </c>
      <c r="F89" s="7" t="str">
        <f>IF(I89=0,"Start with the "&amp;J89&amp;" ability in "&amp;G89&amp;"-"&amp;H89&amp;" and complete the level without losing it","Start with or obtain the "&amp;J89&amp;" ability in the "&amp;VLOOKUP(I89,Stats!$L$2:$M$11,2)&amp;" section of "&amp;G89&amp;"-"&amp;H89&amp;" and complete the level without losing it")</f>
        <v>Start with or obtain the hammer ability in the second section of 6-1 and complete the level without losing it</v>
      </c>
      <c r="G89" s="7">
        <v>6</v>
      </c>
      <c r="H89" s="12">
        <v>1</v>
      </c>
      <c r="I89" s="12">
        <v>2</v>
      </c>
      <c r="J89" s="7" t="s">
        <v>203</v>
      </c>
      <c r="K89" s="7" t="s">
        <v>203</v>
      </c>
      <c r="L89" s="7" t="str">
        <f t="shared" si="3"/>
        <v>CopyAbility(6,1,2,"hammer",5)</v>
      </c>
    </row>
    <row r="90" spans="1:12" s="7" customFormat="1" x14ac:dyDescent="0.25">
      <c r="A90" s="7">
        <v>89</v>
      </c>
      <c r="B90" s="8" t="s">
        <v>174</v>
      </c>
      <c r="C90" s="5" t="str">
        <f>VLOOKUP("0x"&amp;G90&amp;H90,Levels!$D$2:$E$49,2) &amp; " Diet!"</f>
        <v>Olympic Odyssey Diet!</v>
      </c>
      <c r="D90" s="5" t="s">
        <v>11</v>
      </c>
      <c r="E90" s="7">
        <f>VLOOKUP(D90,Stats!$A$1:$B$10,2,FALSE)</f>
        <v>5</v>
      </c>
      <c r="F90" s="7" t="str">
        <f>"Complete level "&amp;G90&amp;"-"&amp;H90&amp;" without swallowing anything or using copy abilities except on the first screen (items are allowed since they are nutritious)"</f>
        <v>Complete level 6-2 without swallowing anything or using copy abilities except on the first screen (items are allowed since they are nutritious)</v>
      </c>
      <c r="G90" s="7">
        <v>6</v>
      </c>
      <c r="H90" s="12">
        <v>2</v>
      </c>
      <c r="I90" s="12">
        <v>0</v>
      </c>
      <c r="K90" s="7" t="s">
        <v>184</v>
      </c>
      <c r="L90" s="7" t="str">
        <f>"Diet("&amp;G90&amp;","&amp;H90&amp;","&amp;E90&amp;")"</f>
        <v>Diet(6,2,5)</v>
      </c>
    </row>
    <row r="91" spans="1:12" s="7" customFormat="1" x14ac:dyDescent="0.25">
      <c r="A91" s="7">
        <v>90</v>
      </c>
      <c r="B91" s="8" t="s">
        <v>174</v>
      </c>
      <c r="C91" s="5" t="str">
        <f>VLOOKUP("0x"&amp;G91&amp;H91,Levels!$D$2:$E$49,2) &amp; " Challenge!"</f>
        <v>Sunken Shipwreck Challenge!</v>
      </c>
      <c r="D91" s="5" t="s">
        <v>11</v>
      </c>
      <c r="E91" s="7">
        <f>VLOOKUP(D91,Stats!$A$1:$B$10,2,FALSE)</f>
        <v>5</v>
      </c>
      <c r="F91" s="7" t="str">
        <f>IF(I91=0,"Start with the "&amp;J91&amp;" ability in "&amp;G91&amp;"-"&amp;H91&amp;" and complete the level without losing it","Start with or obtain the "&amp;J91&amp;" ability in the "&amp;VLOOKUP(I91,Stats!$L$2:$M$11,2)&amp;" section of "&amp;G91&amp;"-"&amp;H91&amp;" and complete the level without losing it")</f>
        <v>Start with or obtain the rock ability in the first section of 6-3 and complete the level without losing it</v>
      </c>
      <c r="G91" s="7">
        <v>6</v>
      </c>
      <c r="H91" s="12">
        <v>3</v>
      </c>
      <c r="I91" s="12">
        <v>1</v>
      </c>
      <c r="J91" s="7" t="s">
        <v>185</v>
      </c>
      <c r="K91" s="7" t="s">
        <v>204</v>
      </c>
      <c r="L91" s="7" t="str">
        <f t="shared" ref="L91:L92" si="4">"CopyAbility("&amp;G91&amp;","&amp;H91&amp;","&amp;I91&amp;","&amp;CHAR(34)&amp;J91&amp;CHAR(34)&amp;","&amp;E91&amp;")"</f>
        <v>CopyAbility(6,3,1,"rock",5)</v>
      </c>
    </row>
    <row r="92" spans="1:12" s="7" customFormat="1" x14ac:dyDescent="0.25">
      <c r="A92" s="7">
        <v>91</v>
      </c>
      <c r="B92" s="8" t="s">
        <v>174</v>
      </c>
      <c r="C92" s="5" t="str">
        <f>VLOOKUP("0x"&amp;G92&amp;H92,Levels!$D$2:$E$49,2) &amp; " Challenge!"</f>
        <v>Eerie Ends Challenge!</v>
      </c>
      <c r="D92" s="5" t="s">
        <v>11</v>
      </c>
      <c r="E92" s="7">
        <f>VLOOKUP(D92,Stats!$A$1:$B$10,2,FALSE)</f>
        <v>5</v>
      </c>
      <c r="F92" s="7" t="str">
        <f>IF(I92=0,"Start with the "&amp;J92&amp;" ability in "&amp;G92&amp;"-"&amp;H92&amp;" and complete the level without losing it","Start with or obtain the "&amp;J92&amp;" ability in the "&amp;VLOOKUP(I92,Stats!$L$2:$M$11,2)&amp;" section of "&amp;G92&amp;"-"&amp;H92&amp;" and complete the level without losing it")</f>
        <v>Start with or obtain the ice ability in the first section of 6-4 and complete the level without losing it</v>
      </c>
      <c r="G92" s="7">
        <v>6</v>
      </c>
      <c r="H92" s="12">
        <v>4</v>
      </c>
      <c r="I92" s="12">
        <v>1</v>
      </c>
      <c r="J92" s="7" t="s">
        <v>205</v>
      </c>
      <c r="K92" s="7" t="s">
        <v>205</v>
      </c>
      <c r="L92" s="7" t="str">
        <f t="shared" si="4"/>
        <v>CopyAbility(6,4,1,"ice",5)</v>
      </c>
    </row>
    <row r="93" spans="1:12" s="7" customFormat="1" x14ac:dyDescent="0.25">
      <c r="A93" s="7">
        <v>92</v>
      </c>
      <c r="B93" s="8" t="s">
        <v>174</v>
      </c>
      <c r="C93" s="5" t="str">
        <f>VLOOKUP("0x"&amp;G93&amp;H93,Levels!$D$2:$E$49,2) &amp; " Race!"</f>
        <v>Thermal Temple Race!</v>
      </c>
      <c r="D93" s="5" t="s">
        <v>12</v>
      </c>
      <c r="E93" s="7">
        <f>VLOOKUP(D93,Stats!$A$1:$B$10,2,FALSE)</f>
        <v>10</v>
      </c>
      <c r="F93" s="7" t="str">
        <f>"Complete level "&amp;G93&amp;"-"&amp;H93&amp;" in " &amp;I93&amp;" seconds or less using only the " &amp; J93 &amp; " and normal copy abilities"</f>
        <v>Complete level 6-5 in 300 seconds or less using only the burning and normal copy abilities</v>
      </c>
      <c r="G93" s="7">
        <v>6</v>
      </c>
      <c r="H93" s="12">
        <v>5</v>
      </c>
      <c r="I93" s="12">
        <v>300</v>
      </c>
      <c r="J93" s="7" t="s">
        <v>175</v>
      </c>
      <c r="K93" s="7" t="s">
        <v>206</v>
      </c>
      <c r="L93" s="7" t="str">
        <f>"Race("&amp;G93&amp;","&amp;H93&amp;","&amp;I93&amp;","&amp;CHAR(34)&amp;J93&amp;CHAR(34)&amp;","&amp;E93&amp;")"</f>
        <v>Race(6,5,300,"burning",10)</v>
      </c>
    </row>
    <row r="94" spans="1:12" s="7" customFormat="1" x14ac:dyDescent="0.25">
      <c r="A94" s="7">
        <v>93</v>
      </c>
      <c r="B94" s="8" t="s">
        <v>174</v>
      </c>
      <c r="C94" s="5" t="str">
        <f>VLOOKUP("0x"&amp;G94&amp;H94,Levels!$D$2:$E$49,2) &amp; " Challenge!"</f>
        <v>Pirate Poltergeist Challenge!</v>
      </c>
      <c r="D94" s="5" t="s">
        <v>11</v>
      </c>
      <c r="E94" s="7">
        <f>VLOOKUP(D94,Stats!$A$1:$B$10,2,FALSE)</f>
        <v>5</v>
      </c>
      <c r="F94" s="7" t="str">
        <f>IF(I94=0,"Start with the "&amp;J94&amp;" ability in "&amp;G94&amp;"-"&amp;H94&amp;" and complete the level without losing it","Start with or obtain the "&amp;J94&amp;" ability in the "&amp;VLOOKUP(I94,Stats!$L$2:$M$11,2)&amp;" section of "&amp;G94&amp;"-"&amp;H94&amp;" and complete the level without losing it")</f>
        <v>Start with or obtain the parasol ability in the first section of 6-6 and complete the level without losing it</v>
      </c>
      <c r="G94" s="7">
        <v>6</v>
      </c>
      <c r="H94" s="12">
        <v>6</v>
      </c>
      <c r="I94" s="12">
        <v>1</v>
      </c>
      <c r="J94" s="7" t="s">
        <v>183</v>
      </c>
      <c r="K94" s="7" t="s">
        <v>183</v>
      </c>
      <c r="L94" s="7" t="str">
        <f t="shared" ref="L94:L97" si="5">"CopyAbility("&amp;G94&amp;","&amp;H94&amp;","&amp;I94&amp;","&amp;CHAR(34)&amp;J94&amp;CHAR(34)&amp;","&amp;E94&amp;")"</f>
        <v>CopyAbility(6,6,1,"parasol",5)</v>
      </c>
    </row>
    <row r="95" spans="1:12" s="7" customFormat="1" x14ac:dyDescent="0.25">
      <c r="A95" s="7">
        <v>94</v>
      </c>
      <c r="B95" s="8" t="s">
        <v>174</v>
      </c>
      <c r="C95" s="5" t="str">
        <f>VLOOKUP("0x"&amp;G95&amp;H95,Levels!$D$2:$E$49,2) &amp; " Challenge!"</f>
        <v>Grassland Graveyard Challenge!</v>
      </c>
      <c r="D95" s="5" t="s">
        <v>11</v>
      </c>
      <c r="E95" s="7">
        <f>VLOOKUP(D95,Stats!$A$1:$B$10,2,FALSE)</f>
        <v>5</v>
      </c>
      <c r="F95" s="7" t="str">
        <f>IF(I95=0,"Start with the "&amp;J95&amp;" ability in "&amp;G95&amp;"-"&amp;H95&amp;" and complete the level without losing it","Start with or obtain the "&amp;J95&amp;" ability in the "&amp;VLOOKUP(I95,Stats!$L$2:$M$11,2)&amp;" section of "&amp;G95&amp;"-"&amp;H95&amp;" and complete the level without losing it")</f>
        <v>Start with or obtain the sword ability in the first section of 7-1 and complete the level without losing it</v>
      </c>
      <c r="G95" s="7">
        <v>7</v>
      </c>
      <c r="H95" s="12">
        <v>1</v>
      </c>
      <c r="I95" s="12">
        <v>1</v>
      </c>
      <c r="J95" s="7" t="s">
        <v>184</v>
      </c>
      <c r="K95" s="7" t="s">
        <v>207</v>
      </c>
      <c r="L95" s="7" t="str">
        <f t="shared" si="5"/>
        <v>CopyAbility(7,1,1,"sword",5)</v>
      </c>
    </row>
    <row r="96" spans="1:12" s="7" customFormat="1" x14ac:dyDescent="0.25">
      <c r="A96" s="7">
        <v>95</v>
      </c>
      <c r="B96" s="8" t="s">
        <v>174</v>
      </c>
      <c r="C96" s="5" t="str">
        <f>VLOOKUP("0x"&amp;G96&amp;H96,Levels!$D$2:$E$49,2) &amp; " Challenge!"</f>
        <v>Abstract Arts Challenge!</v>
      </c>
      <c r="D96" s="5" t="s">
        <v>11</v>
      </c>
      <c r="E96" s="7">
        <f>VLOOKUP(D96,Stats!$A$1:$B$10,2,FALSE)</f>
        <v>5</v>
      </c>
      <c r="F96" s="7" t="str">
        <f>IF(I96=0,"Start with the "&amp;J96&amp;" ability in "&amp;G96&amp;"-"&amp;H96&amp;" and complete the level without losing it","Start with or obtain the "&amp;J96&amp;" ability in the "&amp;VLOOKUP(I96,Stats!$L$2:$M$11,2)&amp;" section of "&amp;G96&amp;"-"&amp;H96&amp;" and complete the level without losing it")</f>
        <v>Start with or obtain the beam ability in the first section of 7-2 and complete the level without losing it</v>
      </c>
      <c r="G96" s="7">
        <v>7</v>
      </c>
      <c r="H96" s="12">
        <v>2</v>
      </c>
      <c r="I96" s="12">
        <v>1</v>
      </c>
      <c r="J96" s="7" t="s">
        <v>191</v>
      </c>
      <c r="K96" s="7" t="s">
        <v>208</v>
      </c>
      <c r="L96" s="7" t="str">
        <f t="shared" si="5"/>
        <v>CopyAbility(7,2,1,"beam",5)</v>
      </c>
    </row>
    <row r="97" spans="1:12" s="7" customFormat="1" x14ac:dyDescent="0.25">
      <c r="A97" s="7">
        <v>96</v>
      </c>
      <c r="B97" s="8" t="s">
        <v>174</v>
      </c>
      <c r="C97" s="5" t="str">
        <f>VLOOKUP("0x"&amp;G97&amp;H97,Levels!$D$2:$E$49,2) &amp; " Challenge!"</f>
        <v>Sinister Shadows Challenge!</v>
      </c>
      <c r="D97" s="5" t="s">
        <v>11</v>
      </c>
      <c r="E97" s="7">
        <f>VLOOKUP(D97,Stats!$A$1:$B$10,2,FALSE)</f>
        <v>5</v>
      </c>
      <c r="F97" s="7" t="str">
        <f>IF(I97=0,"Start with the "&amp;J97&amp;" ability in "&amp;G97&amp;"-"&amp;H97&amp;" and complete the level without losing it","Start with or obtain the "&amp;J97&amp;" ability in the "&amp;VLOOKUP(I97,Stats!$L$2:$M$11,2)&amp;" section of "&amp;G97&amp;"-"&amp;H97&amp;" and complete the level without losing it")</f>
        <v>Start with or obtain the cutter ability in the second section of 7-3 and complete the level without losing it</v>
      </c>
      <c r="G97" s="7">
        <v>7</v>
      </c>
      <c r="H97" s="12">
        <v>3</v>
      </c>
      <c r="I97" s="12">
        <v>2</v>
      </c>
      <c r="J97" s="7" t="s">
        <v>178</v>
      </c>
      <c r="K97" s="7" t="s">
        <v>178</v>
      </c>
      <c r="L97" s="7" t="str">
        <f t="shared" si="5"/>
        <v>CopyAbility(7,3,2,"cutter",5)</v>
      </c>
    </row>
    <row r="98" spans="1:12" s="7" customFormat="1" x14ac:dyDescent="0.25">
      <c r="A98" s="7">
        <v>97</v>
      </c>
      <c r="B98" s="8" t="s">
        <v>174</v>
      </c>
      <c r="C98" s="5" t="str">
        <f>VLOOKUP("0x"&amp;G98&amp;H98,Levels!$D$2:$E$49,2) &amp; " Race!"</f>
        <v>Cosmic Callbacks Race!</v>
      </c>
      <c r="D98" s="5" t="s">
        <v>12</v>
      </c>
      <c r="E98" s="7">
        <f>VLOOKUP(D98,Stats!$A$1:$B$10,2,FALSE)</f>
        <v>10</v>
      </c>
      <c r="F98" s="7" t="str">
        <f>"Complete level "&amp;G98&amp;"-"&amp;H98&amp;" in " &amp;I98&amp;" seconds or less using only the " &amp; J98 &amp; " and normal copy abilities"</f>
        <v>Complete level 7-4 in 300 seconds or less using only the wheel and normal copy abilities</v>
      </c>
      <c r="G98" s="7">
        <v>7</v>
      </c>
      <c r="H98" s="12">
        <v>4</v>
      </c>
      <c r="I98" s="12">
        <v>300</v>
      </c>
      <c r="J98" s="7" t="s">
        <v>198</v>
      </c>
      <c r="K98" s="7" t="s">
        <v>198</v>
      </c>
      <c r="L98" s="7" t="str">
        <f>"Race("&amp;G98&amp;","&amp;H98&amp;","&amp;I98&amp;","&amp;CHAR(34)&amp;J98&amp;CHAR(34)&amp;","&amp;E98&amp;")"</f>
        <v>Race(7,4,300,"wheel",10)</v>
      </c>
    </row>
    <row r="99" spans="1:12" s="7" customFormat="1" x14ac:dyDescent="0.25">
      <c r="A99" s="7">
        <v>98</v>
      </c>
      <c r="B99" s="8" t="s">
        <v>174</v>
      </c>
      <c r="C99" s="5" t="str">
        <f>VLOOKUP("0x"&amp;G99&amp;H99,Levels!$D$2:$E$49,2) &amp; " Diet!"</f>
        <v>Enchanted Express Diet!</v>
      </c>
      <c r="D99" s="5" t="s">
        <v>11</v>
      </c>
      <c r="E99" s="7">
        <f>VLOOKUP(D99,Stats!$A$1:$B$10,2,FALSE)</f>
        <v>5</v>
      </c>
      <c r="F99" s="7" t="str">
        <f>"Complete level "&amp;G99&amp;"-"&amp;H99&amp;" without swallowing anything or using copy abilities except on the first screen (items are allowed since they are nutritious)"</f>
        <v>Complete level 7-5 without swallowing anything or using copy abilities except on the first screen (items are allowed since they are nutritious)</v>
      </c>
      <c r="G99" s="7">
        <v>7</v>
      </c>
      <c r="H99" s="12">
        <v>5</v>
      </c>
      <c r="I99" s="12">
        <v>0</v>
      </c>
      <c r="K99" s="7" t="s">
        <v>209</v>
      </c>
      <c r="L99" s="7" t="str">
        <f>"Diet("&amp;G99&amp;","&amp;H99&amp;","&amp;E99&amp;")"</f>
        <v>Diet(7,5,5)</v>
      </c>
    </row>
    <row r="100" spans="1:12" s="7" customFormat="1" x14ac:dyDescent="0.25">
      <c r="A100" s="7">
        <v>99</v>
      </c>
      <c r="B100" s="8" t="s">
        <v>174</v>
      </c>
      <c r="C100" s="5" t="str">
        <f>VLOOKUP("0x"&amp;G100&amp;H100,Levels!$D$2:$E$49,2) &amp; " Challenge!"</f>
        <v>Rainbow Islands Challenge!</v>
      </c>
      <c r="D100" s="5" t="s">
        <v>11</v>
      </c>
      <c r="E100" s="7">
        <f>VLOOKUP(D100,Stats!$A$1:$B$10,2,FALSE)</f>
        <v>5</v>
      </c>
      <c r="F100" s="7" t="str">
        <f>IF(I100=0,"Start with the "&amp;J100&amp;" ability in "&amp;G100&amp;"-"&amp;H100&amp;" and complete the level without losing it","Start with or obtain the "&amp;J100&amp;" ability in the "&amp;VLOOKUP(I100,Stats!$L$2:$M$11,2)&amp;" section of "&amp;G100&amp;"-"&amp;H100&amp;" and complete the level without losing it")</f>
        <v>Start with or obtain the hi-jump ability in the second section of 7-6 and complete the level without losing it</v>
      </c>
      <c r="G100" s="7">
        <v>7</v>
      </c>
      <c r="H100" s="12">
        <v>6</v>
      </c>
      <c r="I100" s="12">
        <v>2</v>
      </c>
      <c r="J100" s="7" t="s">
        <v>210</v>
      </c>
      <c r="K100" s="7" t="s">
        <v>210</v>
      </c>
      <c r="L100" s="7" t="str">
        <f t="shared" ref="L100" si="6">"CopyAbility("&amp;G100&amp;","&amp;H100&amp;","&amp;I100&amp;","&amp;CHAR(34)&amp;J100&amp;CHAR(34)&amp;","&amp;E100&amp;")"</f>
        <v>CopyAbility(7,6,2,"hi-jump",5)</v>
      </c>
    </row>
    <row r="101" spans="1:12" s="7" customFormat="1" x14ac:dyDescent="0.25">
      <c r="A101" s="7">
        <v>100</v>
      </c>
      <c r="B101" s="8" t="s">
        <v>62</v>
      </c>
      <c r="C101" s="5" t="s">
        <v>313</v>
      </c>
      <c r="D101" s="5" t="s">
        <v>8</v>
      </c>
      <c r="E101" s="7">
        <f>VLOOKUP(D101,Stats!$A$1:$B$10,2,FALSE)</f>
        <v>1</v>
      </c>
      <c r="F101" s="7" t="s">
        <v>61</v>
      </c>
      <c r="H101" s="5"/>
      <c r="I101" s="5"/>
    </row>
    <row r="102" spans="1:12" s="7" customFormat="1" x14ac:dyDescent="0.25">
      <c r="A102" s="7">
        <v>101</v>
      </c>
      <c r="B102" s="8" t="s">
        <v>62</v>
      </c>
      <c r="C102" s="5" t="s">
        <v>312</v>
      </c>
      <c r="D102" s="5" t="s">
        <v>8</v>
      </c>
      <c r="E102" s="7">
        <f>VLOOKUP(D102,Stats!$A$1:$B$10,2,FALSE)</f>
        <v>1</v>
      </c>
      <c r="F102" s="7" t="s">
        <v>63</v>
      </c>
      <c r="H102" s="5"/>
      <c r="I102" s="5"/>
    </row>
    <row r="103" spans="1:12" s="7" customFormat="1" x14ac:dyDescent="0.25">
      <c r="A103" s="7">
        <v>102</v>
      </c>
      <c r="B103" s="8" t="s">
        <v>62</v>
      </c>
      <c r="C103" s="5" t="s">
        <v>311</v>
      </c>
      <c r="D103" s="5" t="s">
        <v>16</v>
      </c>
      <c r="E103" s="7">
        <f>VLOOKUP(D103,Stats!$A$1:$B$10,2,FALSE)</f>
        <v>2</v>
      </c>
      <c r="F103" s="7" t="s">
        <v>64</v>
      </c>
      <c r="H103" s="5"/>
      <c r="I103" s="5"/>
    </row>
    <row r="104" spans="1:12" s="7" customFormat="1" x14ac:dyDescent="0.25">
      <c r="A104" s="7">
        <v>103</v>
      </c>
      <c r="B104" s="8" t="s">
        <v>62</v>
      </c>
      <c r="C104" s="5" t="s">
        <v>310</v>
      </c>
      <c r="D104" s="5" t="s">
        <v>16</v>
      </c>
      <c r="E104" s="7">
        <f>VLOOKUP(D104,Stats!$A$1:$B$10,2,FALSE)</f>
        <v>2</v>
      </c>
      <c r="F104" s="7" t="s">
        <v>65</v>
      </c>
      <c r="H104" s="5"/>
      <c r="I104" s="5"/>
    </row>
    <row r="105" spans="1:12" s="7" customFormat="1" x14ac:dyDescent="0.25">
      <c r="A105" s="7">
        <v>104</v>
      </c>
      <c r="B105" s="8" t="s">
        <v>62</v>
      </c>
      <c r="C105" s="5" t="s">
        <v>309</v>
      </c>
      <c r="D105" s="5" t="s">
        <v>16</v>
      </c>
      <c r="E105" s="7">
        <f>VLOOKUP(D105,Stats!$A$1:$B$10,2,FALSE)</f>
        <v>2</v>
      </c>
      <c r="F105" s="7" t="s">
        <v>66</v>
      </c>
      <c r="H105" s="5"/>
      <c r="I105" s="5"/>
    </row>
    <row r="106" spans="1:12" s="7" customFormat="1" x14ac:dyDescent="0.25">
      <c r="A106" s="7">
        <v>105</v>
      </c>
      <c r="B106" s="8" t="s">
        <v>62</v>
      </c>
      <c r="C106" s="5" t="s">
        <v>308</v>
      </c>
      <c r="D106" s="5" t="s">
        <v>9</v>
      </c>
      <c r="E106" s="7">
        <f>VLOOKUP(D106,Stats!$A$1:$B$10,2,FALSE)</f>
        <v>3</v>
      </c>
      <c r="F106" s="7" t="s">
        <v>67</v>
      </c>
      <c r="H106" s="5"/>
      <c r="I106" s="5"/>
    </row>
    <row r="107" spans="1:12" s="7" customFormat="1" x14ac:dyDescent="0.25">
      <c r="A107" s="7">
        <v>106</v>
      </c>
      <c r="B107" s="8" t="s">
        <v>62</v>
      </c>
      <c r="C107" s="5" t="s">
        <v>307</v>
      </c>
      <c r="D107" s="5" t="s">
        <v>9</v>
      </c>
      <c r="E107" s="7">
        <f>VLOOKUP(D107,Stats!$A$1:$B$10,2,FALSE)</f>
        <v>3</v>
      </c>
      <c r="F107" s="7" t="s">
        <v>68</v>
      </c>
      <c r="H107" s="5"/>
      <c r="I107" s="5"/>
    </row>
    <row r="108" spans="1:12" s="7" customFormat="1" x14ac:dyDescent="0.25">
      <c r="A108" s="7">
        <v>107</v>
      </c>
      <c r="B108" s="8" t="s">
        <v>62</v>
      </c>
      <c r="C108" s="5" t="s">
        <v>306</v>
      </c>
      <c r="D108" s="5" t="s">
        <v>9</v>
      </c>
      <c r="E108" s="7">
        <f>VLOOKUP(D108,Stats!$A$1:$B$10,2,FALSE)</f>
        <v>3</v>
      </c>
      <c r="F108" s="7" t="s">
        <v>69</v>
      </c>
      <c r="H108" s="5"/>
      <c r="I108" s="5"/>
    </row>
    <row r="109" spans="1:12" s="7" customFormat="1" x14ac:dyDescent="0.25">
      <c r="A109" s="7">
        <v>108</v>
      </c>
      <c r="B109" s="8" t="s">
        <v>62</v>
      </c>
      <c r="C109" s="5" t="s">
        <v>305</v>
      </c>
      <c r="D109" s="5" t="s">
        <v>9</v>
      </c>
      <c r="E109" s="7">
        <f>VLOOKUP(D109,Stats!$A$1:$B$10,2,FALSE)</f>
        <v>3</v>
      </c>
      <c r="F109" s="7" t="s">
        <v>70</v>
      </c>
      <c r="H109" s="5"/>
      <c r="I109" s="5"/>
    </row>
    <row r="110" spans="1:12" s="7" customFormat="1" x14ac:dyDescent="0.25">
      <c r="A110" s="7">
        <v>109</v>
      </c>
      <c r="B110" s="8" t="s">
        <v>62</v>
      </c>
      <c r="C110" s="5" t="s">
        <v>304</v>
      </c>
      <c r="D110" s="5" t="s">
        <v>10</v>
      </c>
      <c r="E110" s="7">
        <f>VLOOKUP(D110,Stats!$A$1:$B$10,2,FALSE)</f>
        <v>4</v>
      </c>
      <c r="F110" s="7" t="s">
        <v>71</v>
      </c>
      <c r="H110" s="5"/>
      <c r="I110" s="5"/>
    </row>
    <row r="111" spans="1:12" s="7" customFormat="1" x14ac:dyDescent="0.25">
      <c r="A111" s="7">
        <v>110</v>
      </c>
      <c r="B111" s="8" t="s">
        <v>62</v>
      </c>
      <c r="C111" s="5" t="s">
        <v>303</v>
      </c>
      <c r="D111" s="5" t="s">
        <v>10</v>
      </c>
      <c r="E111" s="7">
        <f>VLOOKUP(D111,Stats!$A$1:$B$10,2,FALSE)</f>
        <v>4</v>
      </c>
      <c r="F111" s="7" t="s">
        <v>72</v>
      </c>
      <c r="H111" s="5"/>
      <c r="I111" s="5"/>
    </row>
    <row r="112" spans="1:12" s="7" customFormat="1" x14ac:dyDescent="0.25">
      <c r="A112" s="7">
        <v>111</v>
      </c>
      <c r="B112" s="8" t="s">
        <v>62</v>
      </c>
      <c r="C112" s="5" t="s">
        <v>302</v>
      </c>
      <c r="D112" s="5" t="s">
        <v>10</v>
      </c>
      <c r="E112" s="7">
        <f>VLOOKUP(D112,Stats!$A$1:$B$10,2,FALSE)</f>
        <v>4</v>
      </c>
      <c r="F112" s="7" t="s">
        <v>73</v>
      </c>
      <c r="H112" s="5"/>
      <c r="I112" s="5"/>
    </row>
    <row r="113" spans="1:9" s="7" customFormat="1" x14ac:dyDescent="0.25">
      <c r="A113" s="7">
        <v>112</v>
      </c>
      <c r="B113" s="8" t="s">
        <v>62</v>
      </c>
      <c r="C113" s="5" t="s">
        <v>301</v>
      </c>
      <c r="D113" s="5" t="s">
        <v>10</v>
      </c>
      <c r="E113" s="7">
        <f>VLOOKUP(D113,Stats!$A$1:$B$10,2,FALSE)</f>
        <v>4</v>
      </c>
      <c r="F113" s="7" t="s">
        <v>74</v>
      </c>
      <c r="H113" s="5"/>
      <c r="I113" s="5"/>
    </row>
    <row r="114" spans="1:9" s="7" customFormat="1" x14ac:dyDescent="0.25">
      <c r="A114" s="7">
        <v>113</v>
      </c>
      <c r="B114" s="8" t="s">
        <v>62</v>
      </c>
      <c r="C114" s="5" t="s">
        <v>300</v>
      </c>
      <c r="D114" s="5" t="s">
        <v>10</v>
      </c>
      <c r="E114" s="7">
        <f>VLOOKUP(D114,Stats!$A$1:$B$10,2,FALSE)</f>
        <v>4</v>
      </c>
      <c r="F114" s="7" t="s">
        <v>75</v>
      </c>
      <c r="H114" s="5"/>
      <c r="I114" s="5"/>
    </row>
    <row r="115" spans="1:9" s="7" customFormat="1" x14ac:dyDescent="0.25">
      <c r="A115" s="7">
        <v>114</v>
      </c>
      <c r="B115" s="8" t="s">
        <v>62</v>
      </c>
      <c r="C115" s="5" t="s">
        <v>299</v>
      </c>
      <c r="D115" s="5" t="s">
        <v>11</v>
      </c>
      <c r="E115" s="7">
        <f>VLOOKUP(D115,Stats!$A$1:$B$10,2,FALSE)</f>
        <v>5</v>
      </c>
      <c r="F115" s="7" t="s">
        <v>76</v>
      </c>
      <c r="H115" s="5"/>
      <c r="I115" s="5"/>
    </row>
    <row r="116" spans="1:9" s="7" customFormat="1" x14ac:dyDescent="0.25">
      <c r="A116" s="7">
        <v>115</v>
      </c>
      <c r="B116" s="8" t="s">
        <v>62</v>
      </c>
      <c r="C116" s="5" t="s">
        <v>298</v>
      </c>
      <c r="D116" s="5" t="s">
        <v>11</v>
      </c>
      <c r="E116" s="7">
        <f>VLOOKUP(D116,Stats!$A$1:$B$10,2,FALSE)</f>
        <v>5</v>
      </c>
      <c r="F116" s="7" t="s">
        <v>77</v>
      </c>
      <c r="H116" s="5"/>
      <c r="I116" s="5"/>
    </row>
    <row r="117" spans="1:9" s="7" customFormat="1" x14ac:dyDescent="0.25">
      <c r="A117" s="7">
        <v>116</v>
      </c>
      <c r="B117" s="8" t="s">
        <v>62</v>
      </c>
      <c r="C117" s="5" t="s">
        <v>297</v>
      </c>
      <c r="D117" s="5" t="s">
        <v>11</v>
      </c>
      <c r="E117" s="7">
        <f>VLOOKUP(D117,Stats!$A$1:$B$10,2,FALSE)</f>
        <v>5</v>
      </c>
      <c r="F117" s="7" t="s">
        <v>78</v>
      </c>
      <c r="H117" s="5"/>
      <c r="I117" s="5"/>
    </row>
    <row r="118" spans="1:9" s="7" customFormat="1" x14ac:dyDescent="0.25">
      <c r="B118" s="8"/>
      <c r="C118" s="5"/>
      <c r="D118" s="5"/>
      <c r="H118" s="5"/>
      <c r="I118" s="5"/>
    </row>
    <row r="119" spans="1:9" s="7" customFormat="1" x14ac:dyDescent="0.25">
      <c r="B119" s="8"/>
      <c r="C119" s="5"/>
      <c r="D119" s="5"/>
      <c r="H119" s="5"/>
      <c r="I119" s="5"/>
    </row>
    <row r="120" spans="1:9" s="7" customFormat="1" x14ac:dyDescent="0.25">
      <c r="B120" s="8"/>
      <c r="C120" s="5"/>
      <c r="D120" s="5"/>
      <c r="H120" s="5"/>
      <c r="I120" s="5"/>
    </row>
    <row r="121" spans="1:9" s="7" customFormat="1" x14ac:dyDescent="0.25">
      <c r="B121" s="8"/>
      <c r="C121" s="5"/>
      <c r="D121" s="5"/>
      <c r="H121" s="5"/>
      <c r="I121" s="5"/>
    </row>
    <row r="122" spans="1:9" s="7" customFormat="1" x14ac:dyDescent="0.25">
      <c r="B122" s="8"/>
      <c r="C122" s="5"/>
      <c r="D122" s="5"/>
      <c r="H122" s="5"/>
      <c r="I122" s="5"/>
    </row>
    <row r="123" spans="1:9" s="7" customFormat="1" x14ac:dyDescent="0.25">
      <c r="B123" s="8"/>
      <c r="C123" s="5"/>
      <c r="D123" s="5"/>
      <c r="H123" s="5"/>
      <c r="I123" s="5"/>
    </row>
    <row r="124" spans="1:9" s="7" customFormat="1" x14ac:dyDescent="0.25">
      <c r="B124" s="8"/>
      <c r="C124" s="5"/>
      <c r="D124" s="5"/>
      <c r="H124" s="5"/>
      <c r="I124" s="5"/>
    </row>
    <row r="125" spans="1:9" s="7" customFormat="1" x14ac:dyDescent="0.25">
      <c r="B125" s="8"/>
      <c r="C125" s="10"/>
      <c r="D125" s="5"/>
      <c r="H125" s="5"/>
      <c r="I125" s="5"/>
    </row>
    <row r="126" spans="1:9" s="7" customFormat="1" x14ac:dyDescent="0.25">
      <c r="B126" s="8"/>
      <c r="C126" s="10"/>
      <c r="D126" s="5"/>
      <c r="H126" s="5"/>
      <c r="I126" s="5"/>
    </row>
    <row r="127" spans="1:9" s="7" customFormat="1" x14ac:dyDescent="0.25">
      <c r="B127" s="8"/>
      <c r="C127" s="10"/>
      <c r="D127" s="5"/>
      <c r="H127" s="5"/>
      <c r="I127" s="5"/>
    </row>
    <row r="128" spans="1:9" s="7" customFormat="1" x14ac:dyDescent="0.25">
      <c r="B128" s="8"/>
      <c r="C128" s="10"/>
      <c r="D128" s="5"/>
      <c r="H128" s="5"/>
      <c r="I128" s="5"/>
    </row>
    <row r="129" spans="2:9" s="7" customFormat="1" x14ac:dyDescent="0.25">
      <c r="B129" s="8"/>
      <c r="C129" s="10"/>
      <c r="D129" s="5"/>
      <c r="H129" s="5"/>
      <c r="I129" s="5"/>
    </row>
    <row r="130" spans="2:9" s="7" customFormat="1" x14ac:dyDescent="0.25">
      <c r="B130" s="8"/>
      <c r="C130" s="10"/>
      <c r="D130" s="5"/>
      <c r="H130" s="5"/>
      <c r="I130" s="5"/>
    </row>
    <row r="131" spans="2:9" s="7" customFormat="1" x14ac:dyDescent="0.25">
      <c r="B131" s="8"/>
      <c r="C131" s="5"/>
      <c r="D131" s="5"/>
      <c r="H131" s="5"/>
      <c r="I131" s="5"/>
    </row>
    <row r="132" spans="2:9" s="7" customFormat="1" x14ac:dyDescent="0.25">
      <c r="B132" s="8"/>
      <c r="C132" s="5"/>
      <c r="D132" s="5"/>
      <c r="H132" s="5"/>
      <c r="I132" s="5"/>
    </row>
    <row r="133" spans="2:9" s="7" customFormat="1" x14ac:dyDescent="0.25">
      <c r="B133" s="8"/>
      <c r="C133" s="5"/>
      <c r="D133" s="5"/>
      <c r="H133" s="5"/>
      <c r="I133" s="5"/>
    </row>
    <row r="134" spans="2:9" s="7" customFormat="1" x14ac:dyDescent="0.25">
      <c r="B134" s="8"/>
      <c r="C134" s="5"/>
      <c r="D134" s="5"/>
      <c r="H134" s="5"/>
      <c r="I134" s="5"/>
    </row>
    <row r="135" spans="2:9" s="7" customFormat="1" x14ac:dyDescent="0.25">
      <c r="B135" s="8"/>
      <c r="C135" s="5"/>
      <c r="D135" s="5"/>
      <c r="H135" s="5"/>
      <c r="I135" s="5"/>
    </row>
    <row r="136" spans="2:9" s="7" customFormat="1" x14ac:dyDescent="0.25">
      <c r="B136" s="8"/>
      <c r="C136" s="5"/>
      <c r="D136" s="5"/>
      <c r="H136" s="5"/>
      <c r="I136" s="5"/>
    </row>
    <row r="137" spans="2:9" s="7" customFormat="1" x14ac:dyDescent="0.25">
      <c r="B137" s="8"/>
      <c r="C137" s="5"/>
      <c r="D137" s="5"/>
      <c r="H137" s="5"/>
      <c r="I137" s="5"/>
    </row>
    <row r="138" spans="2:9" s="7" customFormat="1" x14ac:dyDescent="0.25">
      <c r="B138" s="8"/>
      <c r="C138" s="5"/>
      <c r="D138" s="5"/>
      <c r="H138" s="5"/>
      <c r="I138" s="5"/>
    </row>
    <row r="139" spans="2:9" s="7" customFormat="1" x14ac:dyDescent="0.25">
      <c r="B139" s="8"/>
      <c r="C139" s="5"/>
      <c r="D139" s="5"/>
      <c r="H139" s="5"/>
      <c r="I139" s="5"/>
    </row>
    <row r="140" spans="2:9" s="7" customFormat="1" x14ac:dyDescent="0.25">
      <c r="B140" s="8"/>
      <c r="C140" s="5"/>
      <c r="D140" s="5"/>
      <c r="H140" s="5"/>
      <c r="I140" s="5"/>
    </row>
    <row r="141" spans="2:9" s="7" customFormat="1" x14ac:dyDescent="0.25">
      <c r="B141" s="8"/>
      <c r="C141" s="5"/>
      <c r="D141" s="5"/>
      <c r="H141" s="5"/>
      <c r="I141" s="5"/>
    </row>
    <row r="142" spans="2:9" s="7" customFormat="1" x14ac:dyDescent="0.25">
      <c r="B142" s="8"/>
      <c r="C142" s="5"/>
      <c r="D142" s="5"/>
      <c r="H142" s="5"/>
      <c r="I142" s="5"/>
    </row>
    <row r="143" spans="2:9" s="7" customFormat="1" x14ac:dyDescent="0.25">
      <c r="B143" s="8"/>
      <c r="C143" s="5"/>
      <c r="D143" s="5"/>
      <c r="H143" s="5"/>
      <c r="I143" s="5"/>
    </row>
    <row r="144" spans="2:9" s="7" customFormat="1" x14ac:dyDescent="0.25">
      <c r="B144" s="8"/>
      <c r="C144" s="5"/>
      <c r="D144" s="5"/>
      <c r="H144" s="5"/>
      <c r="I144" s="5"/>
    </row>
    <row r="145" spans="2:9" s="7" customFormat="1" x14ac:dyDescent="0.25">
      <c r="B145" s="8"/>
      <c r="C145" s="5"/>
      <c r="D145" s="5"/>
      <c r="H145" s="5"/>
      <c r="I145" s="5"/>
    </row>
    <row r="146" spans="2:9" s="7" customFormat="1" x14ac:dyDescent="0.25">
      <c r="B146" s="8"/>
      <c r="C146" s="10"/>
      <c r="D146" s="5"/>
      <c r="H146" s="5"/>
      <c r="I146" s="5"/>
    </row>
    <row r="147" spans="2:9" s="7" customFormat="1" x14ac:dyDescent="0.25">
      <c r="B147" s="8"/>
      <c r="C147" s="10"/>
      <c r="D147" s="5"/>
      <c r="H147" s="5"/>
      <c r="I147" s="5"/>
    </row>
    <row r="148" spans="2:9" s="7" customFormat="1" x14ac:dyDescent="0.25">
      <c r="B148" s="8"/>
      <c r="C148" s="10"/>
      <c r="D148" s="5"/>
      <c r="H148" s="5"/>
      <c r="I148" s="5"/>
    </row>
    <row r="149" spans="2:9" x14ac:dyDescent="0.25">
      <c r="B149" s="8"/>
      <c r="C149" s="10"/>
      <c r="D149" s="5"/>
      <c r="E149" s="7"/>
      <c r="F149" s="7"/>
      <c r="G149" s="7"/>
      <c r="H149" s="5"/>
      <c r="I149" s="5"/>
    </row>
    <row r="150" spans="2:9" s="7" customFormat="1" x14ac:dyDescent="0.25">
      <c r="B150" s="8"/>
      <c r="C150" s="10"/>
      <c r="D150" s="5"/>
      <c r="H150" s="5"/>
      <c r="I150" s="5"/>
    </row>
    <row r="151" spans="2:9" s="7" customFormat="1" x14ac:dyDescent="0.25">
      <c r="B151" s="8"/>
      <c r="C151" s="10"/>
      <c r="D151" s="5"/>
      <c r="H151" s="5"/>
      <c r="I151" s="5"/>
    </row>
    <row r="152" spans="2:9" s="7" customFormat="1" x14ac:dyDescent="0.25">
      <c r="B152" s="8"/>
      <c r="C152" s="10"/>
      <c r="D152" s="5"/>
      <c r="H152" s="5"/>
      <c r="I152" s="5"/>
    </row>
    <row r="153" spans="2:9" s="7" customFormat="1" x14ac:dyDescent="0.25">
      <c r="B153" s="8"/>
      <c r="C153" s="10"/>
      <c r="D153" s="5"/>
      <c r="H153" s="5"/>
      <c r="I153" s="5"/>
    </row>
    <row r="154" spans="2:9" x14ac:dyDescent="0.25">
      <c r="B154" s="8"/>
      <c r="C154" s="10"/>
      <c r="D154" s="5"/>
      <c r="E154" s="7"/>
      <c r="F154" s="7"/>
      <c r="G154" s="7"/>
    </row>
    <row r="155" spans="2:9" x14ac:dyDescent="0.25">
      <c r="B155" s="8"/>
      <c r="C155" s="10"/>
      <c r="D155" s="5"/>
      <c r="E155" s="7"/>
      <c r="F155" s="7"/>
      <c r="G155" s="7"/>
      <c r="H155" s="5"/>
      <c r="I155" s="5"/>
    </row>
    <row r="156" spans="2:9" x14ac:dyDescent="0.25">
      <c r="B156" s="8"/>
      <c r="C156" s="10"/>
      <c r="D156" s="5"/>
      <c r="E156" s="7"/>
      <c r="F156" s="7"/>
      <c r="G156" s="7"/>
      <c r="H156" s="5"/>
      <c r="I156" s="5"/>
    </row>
    <row r="157" spans="2:9" x14ac:dyDescent="0.25">
      <c r="B157" s="8"/>
      <c r="C157" s="10"/>
      <c r="D157" s="5"/>
      <c r="E157" s="7"/>
      <c r="F157" s="7"/>
      <c r="G157" s="7"/>
      <c r="H157" s="5"/>
      <c r="I157" s="5"/>
    </row>
    <row r="158" spans="2:9" x14ac:dyDescent="0.25">
      <c r="B158" s="8"/>
      <c r="C158" s="10"/>
      <c r="D158" s="5"/>
      <c r="E158" s="7"/>
      <c r="F158" s="7"/>
      <c r="G158" s="7"/>
      <c r="H158" s="7"/>
    </row>
    <row r="159" spans="2:9" x14ac:dyDescent="0.25">
      <c r="B159" s="8"/>
      <c r="C159" s="10"/>
      <c r="D159" s="5"/>
      <c r="E159" s="7"/>
      <c r="F159" s="7"/>
      <c r="G159" s="7"/>
    </row>
    <row r="160" spans="2:9" x14ac:dyDescent="0.25">
      <c r="B160" s="8"/>
      <c r="C160" s="10"/>
      <c r="D160" s="5"/>
      <c r="E160" s="7"/>
      <c r="F160" s="7"/>
      <c r="G160" s="7"/>
    </row>
    <row r="161" spans="2:9" x14ac:dyDescent="0.25">
      <c r="B161" s="8"/>
      <c r="D161" s="5"/>
      <c r="E161" s="7"/>
      <c r="F161" s="7"/>
      <c r="G161" s="7"/>
    </row>
    <row r="162" spans="2:9" x14ac:dyDescent="0.25">
      <c r="B162" s="8"/>
      <c r="C162" s="10"/>
      <c r="D162" s="5"/>
      <c r="E162" s="7"/>
      <c r="F162" s="7"/>
      <c r="G162" s="7"/>
    </row>
    <row r="163" spans="2:9" x14ac:dyDescent="0.25">
      <c r="F163" s="7"/>
      <c r="G163" s="7"/>
    </row>
    <row r="164" spans="2:9" x14ac:dyDescent="0.25">
      <c r="F164" s="7"/>
      <c r="G164" s="7"/>
    </row>
    <row r="165" spans="2:9" s="7" customFormat="1" x14ac:dyDescent="0.25">
      <c r="C165" s="5"/>
      <c r="D165"/>
      <c r="E165"/>
      <c r="H165"/>
    </row>
    <row r="166" spans="2:9" s="7" customFormat="1" x14ac:dyDescent="0.25">
      <c r="C166" s="5"/>
      <c r="D166"/>
      <c r="E166"/>
      <c r="H166"/>
    </row>
    <row r="167" spans="2:9" s="7" customFormat="1" x14ac:dyDescent="0.25">
      <c r="C167" s="5"/>
      <c r="D167"/>
      <c r="E167"/>
      <c r="H167"/>
    </row>
    <row r="168" spans="2:9" s="7" customFormat="1" x14ac:dyDescent="0.25">
      <c r="C168" s="5"/>
      <c r="D168"/>
      <c r="E168"/>
      <c r="H168"/>
    </row>
    <row r="169" spans="2:9" s="7" customFormat="1" x14ac:dyDescent="0.25">
      <c r="C169" s="5"/>
      <c r="D169"/>
      <c r="E169"/>
      <c r="H169"/>
    </row>
    <row r="170" spans="2:9" s="7" customFormat="1" x14ac:dyDescent="0.25">
      <c r="C170" s="5"/>
      <c r="D170"/>
      <c r="E170"/>
      <c r="H170" s="5"/>
      <c r="I170" s="5"/>
    </row>
    <row r="171" spans="2:9" s="7" customFormat="1" x14ac:dyDescent="0.25">
      <c r="B171" s="8"/>
      <c r="C171" s="10"/>
      <c r="D171" s="5"/>
      <c r="H171" s="5"/>
      <c r="I171" s="5"/>
    </row>
    <row r="172" spans="2:9" s="7" customFormat="1" x14ac:dyDescent="0.25">
      <c r="B172" s="8"/>
      <c r="C172" s="10"/>
      <c r="D172" s="5"/>
      <c r="H172" s="5"/>
      <c r="I172" s="5"/>
    </row>
    <row r="173" spans="2:9" s="7" customFormat="1" x14ac:dyDescent="0.25">
      <c r="B173" s="8"/>
      <c r="C173" s="10"/>
      <c r="D173" s="5"/>
      <c r="H173" s="5"/>
      <c r="I173" s="5"/>
    </row>
    <row r="174" spans="2:9" s="7" customFormat="1" x14ac:dyDescent="0.25">
      <c r="B174" s="8"/>
      <c r="C174" s="10"/>
      <c r="D174" s="5"/>
      <c r="H174" s="5"/>
      <c r="I174" s="5"/>
    </row>
    <row r="175" spans="2:9" s="7" customFormat="1" x14ac:dyDescent="0.25">
      <c r="B175" s="8"/>
      <c r="C175" s="5"/>
      <c r="D175" s="5"/>
      <c r="H175" s="5"/>
      <c r="I175" s="5"/>
    </row>
    <row r="176" spans="2:9" s="7" customFormat="1" x14ac:dyDescent="0.25">
      <c r="B176" s="8"/>
      <c r="C176" s="5"/>
      <c r="D176" s="5"/>
      <c r="H176" s="5"/>
      <c r="I176" s="5"/>
    </row>
    <row r="177" spans="2:9" s="7" customFormat="1" x14ac:dyDescent="0.25">
      <c r="B177" s="8"/>
      <c r="C177" s="5"/>
      <c r="D177" s="5"/>
      <c r="H177" s="5"/>
      <c r="I177" s="5"/>
    </row>
    <row r="178" spans="2:9" s="7" customFormat="1" x14ac:dyDescent="0.25">
      <c r="B178" s="8"/>
      <c r="C178" s="5"/>
      <c r="D178" s="5"/>
      <c r="E178" s="5"/>
      <c r="H178" s="5"/>
      <c r="I178" s="5"/>
    </row>
    <row r="179" spans="2:9" s="7" customFormat="1" x14ac:dyDescent="0.25">
      <c r="B179" s="8"/>
      <c r="C179" s="5"/>
      <c r="D179" s="5"/>
      <c r="E179" s="5"/>
      <c r="H179" s="5"/>
      <c r="I179" s="5"/>
    </row>
    <row r="180" spans="2:9" x14ac:dyDescent="0.25">
      <c r="B180" s="8"/>
      <c r="D180" s="5"/>
      <c r="E180" s="5"/>
      <c r="F180" s="7"/>
      <c r="G180" s="7"/>
      <c r="H180" s="5"/>
      <c r="I180" s="5"/>
    </row>
    <row r="181" spans="2:9" x14ac:dyDescent="0.25">
      <c r="B181" s="8"/>
      <c r="D181" s="5"/>
      <c r="E181" s="5"/>
      <c r="F181" s="7"/>
      <c r="G181" s="7"/>
      <c r="H181" s="5"/>
      <c r="I181" s="5"/>
    </row>
    <row r="182" spans="2:9" s="7" customFormat="1" x14ac:dyDescent="0.25">
      <c r="B182" s="8"/>
      <c r="C182" s="5"/>
      <c r="D182" s="5"/>
      <c r="E182" s="5"/>
      <c r="H182" s="5"/>
      <c r="I182" s="5"/>
    </row>
    <row r="183" spans="2:9" s="7" customFormat="1" x14ac:dyDescent="0.25">
      <c r="B183" s="8"/>
      <c r="C183" s="5"/>
      <c r="D183" s="5"/>
      <c r="E183" s="5"/>
      <c r="H183" s="5"/>
      <c r="I183" s="5"/>
    </row>
    <row r="184" spans="2:9" s="7" customFormat="1" x14ac:dyDescent="0.25">
      <c r="B184" s="8"/>
      <c r="C184" s="5"/>
      <c r="D184" s="5"/>
      <c r="E184" s="5"/>
      <c r="H184" s="5"/>
      <c r="I184" s="5"/>
    </row>
    <row r="185" spans="2:9" s="7" customFormat="1" x14ac:dyDescent="0.25">
      <c r="B185" s="8"/>
      <c r="C185" s="5"/>
      <c r="D185" s="5"/>
      <c r="E185" s="5"/>
      <c r="H185" s="5"/>
      <c r="I185" s="5"/>
    </row>
    <row r="186" spans="2:9" s="7" customFormat="1" x14ac:dyDescent="0.25">
      <c r="B186" s="8"/>
      <c r="C186" s="5"/>
      <c r="D186" s="5"/>
      <c r="E186" s="5"/>
      <c r="H186" s="5"/>
      <c r="I186" s="5"/>
    </row>
    <row r="187" spans="2:9" s="7" customFormat="1" x14ac:dyDescent="0.25">
      <c r="B187" s="8"/>
      <c r="C187" s="5"/>
      <c r="D187" s="5"/>
      <c r="E187" s="5"/>
      <c r="H187" s="5"/>
      <c r="I187" s="5"/>
    </row>
    <row r="188" spans="2:9" s="7" customFormat="1" x14ac:dyDescent="0.25">
      <c r="B188" s="8"/>
      <c r="C188" s="5"/>
      <c r="D188" s="5"/>
      <c r="E188" s="5"/>
      <c r="H188" s="9"/>
      <c r="I188" s="9"/>
    </row>
    <row r="189" spans="2:9" x14ac:dyDescent="0.25">
      <c r="B189" s="8"/>
      <c r="D189" s="5"/>
      <c r="E189" s="5"/>
      <c r="F189" s="7"/>
      <c r="G189" s="7"/>
      <c r="H189" s="5"/>
      <c r="I189" s="5"/>
    </row>
    <row r="190" spans="2:9" s="7" customFormat="1" x14ac:dyDescent="0.25">
      <c r="B190" s="8"/>
      <c r="C190" s="5"/>
      <c r="D190" s="5"/>
      <c r="E190" s="5"/>
      <c r="H190" s="5"/>
      <c r="I190" s="5"/>
    </row>
    <row r="191" spans="2:9" s="7" customFormat="1" x14ac:dyDescent="0.25">
      <c r="B191" s="8"/>
      <c r="C191" s="5"/>
      <c r="D191" s="5"/>
      <c r="E191" s="5"/>
      <c r="H191" s="5"/>
      <c r="I191" s="5"/>
    </row>
    <row r="192" spans="2:9" x14ac:dyDescent="0.25">
      <c r="B192" s="8"/>
      <c r="D192" s="5"/>
      <c r="E192" s="5"/>
      <c r="F192" s="7"/>
      <c r="G192" s="7"/>
      <c r="H192" s="5"/>
      <c r="I192" s="5"/>
    </row>
    <row r="193" spans="2:9" s="7" customFormat="1" x14ac:dyDescent="0.25">
      <c r="B193" s="8"/>
      <c r="C193" s="5"/>
      <c r="D193" s="5"/>
      <c r="E193" s="5"/>
      <c r="H193" s="5"/>
      <c r="I193" s="5"/>
    </row>
    <row r="194" spans="2:9" x14ac:dyDescent="0.25">
      <c r="B194" s="8"/>
      <c r="D194" s="5"/>
      <c r="E194" s="5"/>
      <c r="F194" s="7"/>
      <c r="G194" s="7"/>
      <c r="H194" s="5"/>
      <c r="I194" s="5"/>
    </row>
    <row r="195" spans="2:9" x14ac:dyDescent="0.25">
      <c r="B195" s="8"/>
      <c r="D195" s="5"/>
      <c r="E195" s="5"/>
      <c r="F195" s="7"/>
      <c r="G195" s="7"/>
      <c r="H195" s="5"/>
      <c r="I195" s="5"/>
    </row>
    <row r="196" spans="2:9" x14ac:dyDescent="0.25">
      <c r="B196" s="8"/>
      <c r="D196" s="5"/>
      <c r="E196" s="5"/>
      <c r="F196" s="7"/>
      <c r="G196" s="7"/>
      <c r="H196" s="5"/>
      <c r="I196" s="5"/>
    </row>
    <row r="197" spans="2:9" s="7" customFormat="1" x14ac:dyDescent="0.25">
      <c r="B197" s="8"/>
      <c r="C197" s="10"/>
      <c r="D197" s="5"/>
      <c r="E197" s="5"/>
      <c r="H197" s="5"/>
      <c r="I197" s="5"/>
    </row>
    <row r="198" spans="2:9" s="7" customFormat="1" x14ac:dyDescent="0.25">
      <c r="B198" s="8"/>
      <c r="C198" s="10"/>
      <c r="D198" s="5"/>
      <c r="E198" s="5"/>
      <c r="H198" s="5"/>
      <c r="I198" s="5"/>
    </row>
    <row r="199" spans="2:9" x14ac:dyDescent="0.25">
      <c r="B199" s="8"/>
      <c r="C199" s="10"/>
      <c r="D199" s="5"/>
      <c r="E199" s="5"/>
      <c r="F199" s="7"/>
      <c r="G199" s="7"/>
      <c r="H199" s="5"/>
      <c r="I199" s="5"/>
    </row>
    <row r="200" spans="2:9" x14ac:dyDescent="0.25">
      <c r="B200" s="8"/>
      <c r="D200" s="5"/>
      <c r="E200" s="5"/>
      <c r="F200" s="7"/>
      <c r="G200" s="7"/>
      <c r="H200" s="5"/>
      <c r="I200" s="5"/>
    </row>
    <row r="201" spans="2:9" s="7" customFormat="1" x14ac:dyDescent="0.25">
      <c r="B201" s="8"/>
      <c r="C201" s="5"/>
      <c r="D201" s="5"/>
      <c r="E201" s="5"/>
      <c r="H201" s="5"/>
      <c r="I201" s="5"/>
    </row>
    <row r="202" spans="2:9" s="7" customFormat="1" x14ac:dyDescent="0.25">
      <c r="B202" s="8"/>
      <c r="C202" s="5"/>
      <c r="D202" s="5"/>
      <c r="E202" s="5"/>
      <c r="H202" s="5"/>
      <c r="I202" s="5"/>
    </row>
    <row r="203" spans="2:9" s="7" customFormat="1" x14ac:dyDescent="0.25">
      <c r="B203" s="8"/>
      <c r="C203" s="5"/>
      <c r="D203" s="5"/>
      <c r="E203" s="5"/>
      <c r="H203" s="5"/>
      <c r="I203" s="5"/>
    </row>
    <row r="204" spans="2:9" s="7" customFormat="1" x14ac:dyDescent="0.25">
      <c r="B204" s="8"/>
      <c r="C204" s="5"/>
      <c r="D204" s="5"/>
      <c r="E204" s="5"/>
      <c r="H204" s="5"/>
      <c r="I204" s="5"/>
    </row>
    <row r="205" spans="2:9" s="7" customFormat="1" x14ac:dyDescent="0.25">
      <c r="B205" s="8"/>
      <c r="C205" s="5"/>
      <c r="D205" s="5"/>
      <c r="E205" s="5"/>
      <c r="H205" s="5"/>
      <c r="I205" s="5"/>
    </row>
    <row r="206" spans="2:9" x14ac:dyDescent="0.25">
      <c r="B206" s="8"/>
      <c r="D206" s="5"/>
      <c r="E206" s="5"/>
      <c r="F206" s="7"/>
      <c r="G206" s="7"/>
      <c r="H206" s="5"/>
      <c r="I206" s="5"/>
    </row>
    <row r="207" spans="2:9" x14ac:dyDescent="0.25">
      <c r="B207" s="8"/>
      <c r="D207" s="5"/>
      <c r="E207" s="5"/>
      <c r="F207" s="7"/>
      <c r="G207" s="7"/>
      <c r="H207" s="5"/>
      <c r="I207" s="5"/>
    </row>
    <row r="208" spans="2:9" x14ac:dyDescent="0.25">
      <c r="B208" s="8"/>
      <c r="D208" s="5"/>
      <c r="E208" s="5"/>
      <c r="F208" s="7"/>
      <c r="G208" s="7"/>
      <c r="H208" s="5"/>
      <c r="I208" s="5"/>
    </row>
    <row r="209" spans="2:9" x14ac:dyDescent="0.25">
      <c r="B209" s="8"/>
      <c r="D209" s="5"/>
      <c r="E209" s="5"/>
      <c r="F209" s="7"/>
      <c r="G209" s="7"/>
      <c r="H209" s="5"/>
      <c r="I209" s="5"/>
    </row>
    <row r="210" spans="2:9" x14ac:dyDescent="0.25">
      <c r="B210" s="8"/>
      <c r="D210" s="5"/>
      <c r="E210" s="5"/>
      <c r="F210" s="7"/>
      <c r="G210" s="7"/>
      <c r="H210" s="5"/>
      <c r="I210" s="5"/>
    </row>
    <row r="211" spans="2:9" x14ac:dyDescent="0.25">
      <c r="B211" s="8"/>
      <c r="D211" s="5"/>
      <c r="E211" s="5"/>
      <c r="F211" s="7"/>
      <c r="G211" s="7"/>
    </row>
    <row r="212" spans="2:9" x14ac:dyDescent="0.25">
      <c r="B212" s="8"/>
      <c r="D212" s="5"/>
      <c r="E212" s="5"/>
      <c r="F212" s="7"/>
      <c r="G212" s="7"/>
    </row>
    <row r="213" spans="2:9" x14ac:dyDescent="0.25">
      <c r="B213" s="8"/>
      <c r="D213" s="5"/>
      <c r="E213" s="5"/>
      <c r="F213" s="7"/>
      <c r="G213" s="7"/>
    </row>
    <row r="214" spans="2:9" x14ac:dyDescent="0.25">
      <c r="B214" s="2"/>
      <c r="F214" s="7"/>
      <c r="G214" s="7"/>
    </row>
    <row r="215" spans="2:9" x14ac:dyDescent="0.25">
      <c r="B215" s="2"/>
      <c r="F215" s="7"/>
      <c r="G215" s="7"/>
    </row>
    <row r="216" spans="2:9" x14ac:dyDescent="0.25">
      <c r="B216" s="2"/>
      <c r="F216" s="7"/>
      <c r="G216" s="7"/>
    </row>
    <row r="217" spans="2:9" x14ac:dyDescent="0.25">
      <c r="B217" s="2"/>
      <c r="F217" s="7"/>
      <c r="G217" s="7"/>
    </row>
    <row r="218" spans="2:9" x14ac:dyDescent="0.25">
      <c r="B218" s="2"/>
      <c r="F218" s="7"/>
      <c r="G218" s="7"/>
    </row>
    <row r="219" spans="2:9" x14ac:dyDescent="0.25">
      <c r="B219" s="2"/>
      <c r="F219" s="7"/>
      <c r="G219" s="7"/>
    </row>
    <row r="220" spans="2:9" x14ac:dyDescent="0.25">
      <c r="B220" s="2"/>
      <c r="F220" s="7"/>
      <c r="G220" s="7"/>
    </row>
    <row r="221" spans="2:9" s="7" customFormat="1" x14ac:dyDescent="0.25">
      <c r="B221" s="2"/>
      <c r="C221" s="5"/>
      <c r="D221"/>
      <c r="E221"/>
      <c r="H221"/>
    </row>
    <row r="222" spans="2:9" x14ac:dyDescent="0.25">
      <c r="B222" s="2"/>
      <c r="F222" s="7"/>
      <c r="G222" s="7"/>
    </row>
    <row r="223" spans="2:9" x14ac:dyDescent="0.25">
      <c r="B223" s="2"/>
      <c r="F223" s="7"/>
      <c r="G223" s="7"/>
    </row>
    <row r="224" spans="2:9" s="7" customFormat="1" x14ac:dyDescent="0.25">
      <c r="B224" s="2"/>
      <c r="C224" s="5"/>
      <c r="D224"/>
      <c r="E224"/>
      <c r="H224"/>
    </row>
    <row r="225" spans="2:8" s="7" customFormat="1" x14ac:dyDescent="0.25">
      <c r="B225" s="2"/>
      <c r="C225" s="5"/>
      <c r="D225"/>
      <c r="E225"/>
      <c r="H225"/>
    </row>
    <row r="226" spans="2:8" x14ac:dyDescent="0.25">
      <c r="B226" s="2"/>
      <c r="F226" s="7"/>
      <c r="G226" s="7"/>
      <c r="H226" s="7"/>
    </row>
    <row r="227" spans="2:8" x14ac:dyDescent="0.25">
      <c r="B227" s="2"/>
      <c r="F227" s="7"/>
      <c r="G227" s="7"/>
    </row>
    <row r="228" spans="2:8" x14ac:dyDescent="0.25">
      <c r="B228" s="2"/>
      <c r="F228" s="7"/>
      <c r="G228" s="7"/>
    </row>
    <row r="229" spans="2:8" x14ac:dyDescent="0.25">
      <c r="B229" s="2"/>
      <c r="D229" s="7"/>
      <c r="E229" s="7"/>
      <c r="F229" s="7"/>
      <c r="G229" s="7"/>
      <c r="H229" s="7"/>
    </row>
    <row r="230" spans="2:8" x14ac:dyDescent="0.25">
      <c r="B230" s="2"/>
      <c r="F230" s="7"/>
      <c r="G230" s="7"/>
      <c r="H230" s="7"/>
    </row>
    <row r="231" spans="2:8" x14ac:dyDescent="0.25">
      <c r="B231" s="2"/>
      <c r="F231" s="7"/>
      <c r="G231" s="7"/>
    </row>
    <row r="232" spans="2:8" x14ac:dyDescent="0.25">
      <c r="B232" s="2"/>
      <c r="D232" s="7"/>
      <c r="E232" s="7"/>
      <c r="F232" s="7"/>
      <c r="G232" s="7"/>
    </row>
    <row r="233" spans="2:8" x14ac:dyDescent="0.25">
      <c r="B233" s="2"/>
      <c r="D233" s="7"/>
      <c r="E233" s="7"/>
      <c r="F233" s="7"/>
      <c r="G233" s="7"/>
    </row>
    <row r="234" spans="2:8" x14ac:dyDescent="0.25">
      <c r="B234" s="2"/>
      <c r="D234" s="5"/>
      <c r="E234" s="5"/>
      <c r="F234" s="7"/>
      <c r="G234" s="7"/>
    </row>
    <row r="235" spans="2:8" x14ac:dyDescent="0.25">
      <c r="B235" s="2"/>
      <c r="F235" s="7"/>
      <c r="G235" s="7"/>
    </row>
    <row r="236" spans="2:8" x14ac:dyDescent="0.25">
      <c r="B236" s="2"/>
      <c r="F236" s="7"/>
      <c r="G236" s="7"/>
    </row>
    <row r="237" spans="2:8" x14ac:dyDescent="0.25">
      <c r="B237" s="2"/>
      <c r="F237" s="7"/>
      <c r="G237" s="7"/>
    </row>
    <row r="238" spans="2:8" s="7" customFormat="1" x14ac:dyDescent="0.25">
      <c r="B238" s="2"/>
      <c r="C238" s="5"/>
      <c r="D238"/>
      <c r="E238"/>
      <c r="H238"/>
    </row>
    <row r="239" spans="2:8" x14ac:dyDescent="0.25">
      <c r="B239" s="2"/>
      <c r="F239" s="7"/>
      <c r="G239" s="7"/>
    </row>
    <row r="240" spans="2:8" x14ac:dyDescent="0.25">
      <c r="B240" s="2"/>
      <c r="F240" s="7"/>
      <c r="G240" s="7"/>
    </row>
    <row r="241" spans="2:8" x14ac:dyDescent="0.25">
      <c r="B241" s="2"/>
      <c r="F241" s="7"/>
      <c r="G241" s="7"/>
    </row>
    <row r="242" spans="2:8" x14ac:dyDescent="0.25">
      <c r="B242" s="2"/>
      <c r="F242" s="7"/>
      <c r="G242" s="7"/>
    </row>
    <row r="243" spans="2:8" x14ac:dyDescent="0.25">
      <c r="B243" s="2"/>
      <c r="F243" s="7"/>
      <c r="G243" s="7"/>
      <c r="H243" s="7"/>
    </row>
    <row r="244" spans="2:8" x14ac:dyDescent="0.25">
      <c r="B244" s="2"/>
      <c r="F244" s="7"/>
      <c r="G244" s="7"/>
    </row>
    <row r="245" spans="2:8" x14ac:dyDescent="0.25">
      <c r="B245" s="2"/>
      <c r="F245" s="7"/>
      <c r="G245" s="7"/>
    </row>
    <row r="246" spans="2:8" x14ac:dyDescent="0.25">
      <c r="B246" s="2"/>
      <c r="D246" s="5"/>
      <c r="E246" s="5"/>
      <c r="F246" s="7"/>
      <c r="G246" s="7"/>
    </row>
  </sheetData>
  <autoFilter ref="B1:H243">
    <sortState ref="B2:L87">
      <sortCondition ref="E1:E87"/>
    </sortState>
  </autoFilter>
  <sortState ref="F25:F36">
    <sortCondition ref="F25"/>
  </sortState>
  <conditionalFormatting sqref="J62:J100">
    <cfRule type="duplicateValues" dxfId="14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Stats!$A$2:$A$10</xm:f>
          </x14:formula1>
          <xm:sqref>D171:D246 D2:D162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9"/>
  <sheetViews>
    <sheetView workbookViewId="0">
      <selection activeCell="F2" sqref="F2"/>
    </sheetView>
  </sheetViews>
  <sheetFormatPr defaultColWidth="9.140625" defaultRowHeight="15" x14ac:dyDescent="0.25"/>
  <cols>
    <col min="1" max="1" width="9" style="7" customWidth="1"/>
    <col min="2" max="2" width="8.5703125" style="7" bestFit="1" customWidth="1"/>
    <col min="3" max="3" width="11.5703125" style="7" bestFit="1" customWidth="1"/>
    <col min="4" max="4" width="10.7109375" style="5" bestFit="1" customWidth="1"/>
    <col min="5" max="5" width="6.5703125" style="7" bestFit="1" customWidth="1"/>
    <col min="6" max="6" width="122.5703125" style="5" bestFit="1" customWidth="1"/>
    <col min="7" max="7" width="6.5703125" style="7" bestFit="1" customWidth="1"/>
    <col min="8" max="8" width="5.85546875" style="7" bestFit="1" customWidth="1"/>
    <col min="9" max="16384" width="9.140625" style="7"/>
  </cols>
  <sheetData>
    <row r="1" spans="1:14" x14ac:dyDescent="0.25">
      <c r="A1" s="7" t="s">
        <v>30</v>
      </c>
      <c r="B1" s="2" t="s">
        <v>15</v>
      </c>
      <c r="C1" s="6" t="s">
        <v>1</v>
      </c>
      <c r="D1" s="1" t="s">
        <v>29</v>
      </c>
      <c r="E1" s="1" t="s">
        <v>3</v>
      </c>
      <c r="F1" s="6" t="s">
        <v>2</v>
      </c>
      <c r="G1" s="1" t="s">
        <v>211</v>
      </c>
      <c r="H1" s="6" t="s">
        <v>212</v>
      </c>
      <c r="I1" s="6" t="s">
        <v>213</v>
      </c>
      <c r="J1" s="6" t="s">
        <v>214</v>
      </c>
      <c r="K1" s="6" t="s">
        <v>215</v>
      </c>
      <c r="L1" s="6" t="s">
        <v>48</v>
      </c>
      <c r="M1" s="6" t="s">
        <v>216</v>
      </c>
      <c r="N1" s="6" t="s">
        <v>222</v>
      </c>
    </row>
    <row r="2" spans="1:14" x14ac:dyDescent="0.25">
      <c r="A2" s="7">
        <v>56</v>
      </c>
      <c r="B2" s="8" t="s">
        <v>53</v>
      </c>
      <c r="C2" s="5" t="s">
        <v>162</v>
      </c>
      <c r="D2" s="5" t="s">
        <v>11</v>
      </c>
      <c r="E2" s="7">
        <f>VLOOKUP(D2,Stats!$A$1:$B$10,2,FALSE)</f>
        <v>5</v>
      </c>
      <c r="F2" s="7" t="s">
        <v>170</v>
      </c>
      <c r="G2" s="5"/>
    </row>
    <row r="3" spans="1:14" x14ac:dyDescent="0.25">
      <c r="A3" s="7">
        <v>56</v>
      </c>
      <c r="B3" s="8" t="s">
        <v>53</v>
      </c>
      <c r="C3" s="5" t="s">
        <v>163</v>
      </c>
      <c r="D3" s="5" t="s">
        <v>11</v>
      </c>
      <c r="E3" s="7">
        <f>VLOOKUP(D3,Stats!$A$1:$B$10,2,FALSE)</f>
        <v>5</v>
      </c>
      <c r="F3" s="7" t="s">
        <v>159</v>
      </c>
      <c r="G3" s="5"/>
    </row>
    <row r="4" spans="1:14" x14ac:dyDescent="0.25">
      <c r="A4" s="7">
        <v>57</v>
      </c>
      <c r="B4" s="8" t="s">
        <v>53</v>
      </c>
      <c r="C4" s="5" t="s">
        <v>164</v>
      </c>
      <c r="D4" s="5" t="s">
        <v>11</v>
      </c>
      <c r="E4" s="7">
        <f>VLOOKUP(D4,Stats!$A$1:$B$10,2,FALSE)</f>
        <v>5</v>
      </c>
      <c r="F4" s="7" t="s">
        <v>161</v>
      </c>
      <c r="G4" s="5"/>
    </row>
    <row r="5" spans="1:14" x14ac:dyDescent="0.25">
      <c r="A5" s="7">
        <v>58</v>
      </c>
      <c r="B5" s="8" t="s">
        <v>53</v>
      </c>
      <c r="C5" s="5" t="s">
        <v>165</v>
      </c>
      <c r="D5" s="5" t="s">
        <v>11</v>
      </c>
      <c r="E5" s="7">
        <f>VLOOKUP(D5,Stats!$A$1:$B$10,2,FALSE)</f>
        <v>5</v>
      </c>
      <c r="F5" s="7" t="s">
        <v>160</v>
      </c>
      <c r="G5" s="5"/>
    </row>
    <row r="6" spans="1:14" x14ac:dyDescent="0.25">
      <c r="A6" s="7">
        <v>59</v>
      </c>
      <c r="B6" s="8" t="s">
        <v>53</v>
      </c>
      <c r="C6" s="5" t="s">
        <v>166</v>
      </c>
      <c r="D6" s="5" t="s">
        <v>11</v>
      </c>
      <c r="E6" s="7">
        <f>VLOOKUP(D6,Stats!$A$1:$B$10,2,FALSE)</f>
        <v>5</v>
      </c>
      <c r="F6" s="7" t="s">
        <v>52</v>
      </c>
      <c r="G6" s="5"/>
    </row>
    <row r="7" spans="1:14" x14ac:dyDescent="0.25">
      <c r="A7" s="7">
        <v>60</v>
      </c>
      <c r="B7" s="8" t="s">
        <v>53</v>
      </c>
      <c r="C7" s="5" t="s">
        <v>167</v>
      </c>
      <c r="D7" s="5" t="s">
        <v>11</v>
      </c>
      <c r="E7" s="7">
        <f>VLOOKUP(D7,Stats!$A$1:$B$10,2,FALSE)</f>
        <v>5</v>
      </c>
      <c r="F7" s="7" t="s">
        <v>169</v>
      </c>
      <c r="G7" s="5"/>
    </row>
    <row r="8" spans="1:14" x14ac:dyDescent="0.25">
      <c r="A8" s="7">
        <v>60</v>
      </c>
      <c r="B8" s="8" t="s">
        <v>53</v>
      </c>
      <c r="C8" s="5" t="s">
        <v>168</v>
      </c>
      <c r="D8" s="5" t="s">
        <v>11</v>
      </c>
      <c r="E8" s="7">
        <f>VLOOKUP(D8,Stats!$A$1:$B$10,2,FALSE)</f>
        <v>5</v>
      </c>
      <c r="F8" s="7" t="s">
        <v>171</v>
      </c>
      <c r="G8" s="5"/>
    </row>
    <row r="9" spans="1:14" x14ac:dyDescent="0.25">
      <c r="A9" s="7">
        <v>60</v>
      </c>
      <c r="B9" s="8" t="s">
        <v>174</v>
      </c>
      <c r="C9" s="5" t="s">
        <v>249</v>
      </c>
      <c r="D9" s="5" t="s">
        <v>10</v>
      </c>
      <c r="E9" s="7">
        <f>VLOOKUP(D9,Stats!$A$1:$B$10,2,FALSE)</f>
        <v>4</v>
      </c>
      <c r="F9" s="7" t="str">
        <f t="shared" ref="F9" si="0">IF(K9="none","Start with the "&amp;L9&amp;" ability in "&amp;G9&amp;"-"&amp;H9&amp;" and complete the level without losing it","Start with or obtain the "&amp;L9&amp;" ability in the "&amp;K9&amp;" section of "&amp;G9&amp;"-"&amp;H9&amp;" and complete the level without losing it")</f>
        <v>Start with or obtain the cutter ability in the first section of 1-2 and complete the level without losing it</v>
      </c>
      <c r="G9" s="7">
        <v>1</v>
      </c>
      <c r="H9" s="12">
        <v>2</v>
      </c>
      <c r="I9" s="11" t="s">
        <v>223</v>
      </c>
      <c r="J9" s="11" t="s">
        <v>229</v>
      </c>
      <c r="K9" s="12" t="s">
        <v>181</v>
      </c>
      <c r="L9" s="7" t="s">
        <v>178</v>
      </c>
      <c r="M9" s="7" t="s">
        <v>178</v>
      </c>
      <c r="N9" s="7" t="str">
        <f t="shared" ref="N9" si="1">"CopyAbility("&amp;CHAR(34)&amp;C9&amp;CHAR(34)&amp;","&amp;E9&amp;","&amp;G9&amp;","&amp;H9&amp;","&amp;I9&amp;","&amp;J9&amp;","&amp;CHAR(34)&amp;K9&amp;CHAR(34)&amp;","&amp;CHAR(34)&amp;L9&amp;CHAR(34)&amp;")"</f>
        <v>CopyAbility("Cut the Fuse!",4,1,2,0x0000,0x002F,"first","cutter")</v>
      </c>
    </row>
    <row r="10" spans="1:14" x14ac:dyDescent="0.25">
      <c r="A10" s="7">
        <v>64</v>
      </c>
      <c r="B10" s="8" t="s">
        <v>174</v>
      </c>
      <c r="C10" s="5" t="s">
        <v>252</v>
      </c>
      <c r="D10" s="5" t="s">
        <v>11</v>
      </c>
      <c r="E10" s="7">
        <f>VLOOKUP(D10,Stats!$A$1:$B$10,2,FALSE)</f>
        <v>5</v>
      </c>
      <c r="F10" s="7" t="str">
        <f t="shared" ref="F10" si="2">IF(K10="none","Start with the "&amp;L10&amp;" ability in "&amp;G10&amp;"-"&amp;H10&amp;" and complete the level without losing it","Start with or obtain the "&amp;L10&amp;" ability in the "&amp;K10&amp;" section of "&amp;G10&amp;"-"&amp;H10&amp;" and complete the level without losing it")</f>
        <v>Start with or obtain the sword ability in the first section of 2-2 and complete the level without losing it</v>
      </c>
      <c r="G10" s="7">
        <v>2</v>
      </c>
      <c r="H10" s="12">
        <v>2</v>
      </c>
      <c r="I10" s="11" t="s">
        <v>224</v>
      </c>
      <c r="J10" s="11" t="s">
        <v>233</v>
      </c>
      <c r="K10" s="12" t="s">
        <v>181</v>
      </c>
      <c r="L10" s="7" t="s">
        <v>184</v>
      </c>
      <c r="M10" s="7" t="s">
        <v>184</v>
      </c>
      <c r="N10" s="7" t="str">
        <f t="shared" ref="N10" si="3">"CopyAbility("&amp;CHAR(34)&amp;C10&amp;CHAR(34)&amp;","&amp;E10&amp;","&amp;G10&amp;","&amp;H10&amp;","&amp;I10&amp;","&amp;J10&amp;","&amp;CHAR(34)&amp;K10&amp;CHAR(34)&amp;","&amp;CHAR(34)&amp;L10&amp;CHAR(34)&amp;")"</f>
        <v>CopyAbility("Slash the Wheels!",5,2,2,0x0001,0x00ad,"first","sword")</v>
      </c>
    </row>
    <row r="11" spans="1:14" x14ac:dyDescent="0.25">
      <c r="A11" s="7">
        <v>69</v>
      </c>
      <c r="B11" s="8" t="s">
        <v>174</v>
      </c>
      <c r="C11" s="5" t="s">
        <v>257</v>
      </c>
      <c r="D11" s="5" t="s">
        <v>11</v>
      </c>
      <c r="E11" s="7">
        <v>5</v>
      </c>
      <c r="F11" s="7" t="str">
        <f t="shared" ref="F11:F22" si="4">IF(K11="none","Start with the "&amp;L11&amp;" ability in "&amp;G11&amp;"-"&amp;H11&amp;" and complete the level without losing it","Start with or obtain the "&amp;L11&amp;" ability in the "&amp;K11&amp;" section of "&amp;G11&amp;"-"&amp;H11&amp;" and complete the level without losing it")</f>
        <v>Start with or obtain the fire ability in the first section of 3-2 and complete the level without losing it</v>
      </c>
      <c r="G11" s="7">
        <v>3</v>
      </c>
      <c r="H11" s="12">
        <v>2</v>
      </c>
      <c r="I11" s="11" t="s">
        <v>225</v>
      </c>
      <c r="J11" s="11" t="s">
        <v>234</v>
      </c>
      <c r="K11" s="11" t="s">
        <v>181</v>
      </c>
      <c r="L11" s="7" t="s">
        <v>179</v>
      </c>
      <c r="M11" s="7" t="s">
        <v>188</v>
      </c>
      <c r="N11" s="7" t="str">
        <f t="shared" ref="N11:N13" si="5">"CopyAbility("&amp;CHAR(34)&amp;C11&amp;CHAR(34)&amp;","&amp;E11&amp;","&amp;G11&amp;","&amp;H11&amp;","&amp;I11&amp;","&amp;J11&amp;","&amp;CHAR(34)&amp;K11&amp;CHAR(34)&amp;","&amp;CHAR(34)&amp;L11&amp;CHAR(34)&amp;")"</f>
        <v>CopyAbility("Fire Fly!",5,3,2,0x0002,0x00cc,"first","fire")</v>
      </c>
    </row>
    <row r="12" spans="1:14" x14ac:dyDescent="0.25">
      <c r="A12" s="7">
        <v>74</v>
      </c>
      <c r="B12" s="8" t="s">
        <v>174</v>
      </c>
      <c r="C12" s="5" t="str">
        <f t="shared" ref="C12:C13" si="6">"Copy " &amp;G12&amp;"-"&amp;H12</f>
        <v>Copy 4-1</v>
      </c>
      <c r="D12" s="5" t="s">
        <v>11</v>
      </c>
      <c r="E12" s="7">
        <v>5</v>
      </c>
      <c r="F12" s="7" t="str">
        <f t="shared" si="4"/>
        <v>Start with or obtain the tornado ability in the first section of 4-1 and complete the level without losing it</v>
      </c>
      <c r="G12" s="7">
        <v>4</v>
      </c>
      <c r="H12" s="12">
        <v>1</v>
      </c>
      <c r="I12" s="11" t="s">
        <v>226</v>
      </c>
      <c r="J12" s="11" t="s">
        <v>236</v>
      </c>
      <c r="K12" s="11" t="s">
        <v>181</v>
      </c>
      <c r="L12" s="7" t="s">
        <v>221</v>
      </c>
      <c r="M12" s="7" t="s">
        <v>194</v>
      </c>
      <c r="N12" s="7" t="str">
        <f t="shared" si="5"/>
        <v>CopyAbility("Copy 4-1",5,4,1,0x0003,0x00ec,"first","tornado")</v>
      </c>
    </row>
    <row r="13" spans="1:14" x14ac:dyDescent="0.25">
      <c r="A13" s="7">
        <v>82</v>
      </c>
      <c r="B13" s="8" t="s">
        <v>174</v>
      </c>
      <c r="C13" s="5" t="str">
        <f t="shared" si="6"/>
        <v>Copy 5-3</v>
      </c>
      <c r="D13" s="5" t="s">
        <v>11</v>
      </c>
      <c r="E13" s="7">
        <v>5</v>
      </c>
      <c r="F13" s="7" t="str">
        <f t="shared" si="4"/>
        <v>Start with or obtain the tornado ability in the first section of 5-3 and complete the level without losing it</v>
      </c>
      <c r="G13" s="7">
        <v>5</v>
      </c>
      <c r="H13" s="12">
        <v>3</v>
      </c>
      <c r="I13" s="11" t="s">
        <v>227</v>
      </c>
      <c r="J13" s="11" t="s">
        <v>240</v>
      </c>
      <c r="K13" s="11" t="s">
        <v>181</v>
      </c>
      <c r="L13" s="7" t="s">
        <v>221</v>
      </c>
      <c r="M13" s="7" t="s">
        <v>200</v>
      </c>
      <c r="N13" s="7" t="str">
        <f t="shared" si="5"/>
        <v>CopyAbility("Copy 5-3",5,5,3,0x0004,0x011d,"first","tornado")</v>
      </c>
    </row>
    <row r="14" spans="1:14" x14ac:dyDescent="0.25">
      <c r="A14" s="7">
        <v>90</v>
      </c>
      <c r="B14" s="8" t="s">
        <v>174</v>
      </c>
      <c r="C14" s="5" t="s">
        <v>167</v>
      </c>
      <c r="D14" s="5" t="s">
        <v>11</v>
      </c>
      <c r="E14" s="7">
        <v>5</v>
      </c>
      <c r="F14" s="7" t="str">
        <f t="shared" si="4"/>
        <v>Start with or obtain the burning ability in the first section of 6-5 and complete the level without losing it</v>
      </c>
      <c r="G14" s="7">
        <v>6</v>
      </c>
      <c r="H14" s="12">
        <v>5</v>
      </c>
      <c r="I14" s="11" t="s">
        <v>228</v>
      </c>
      <c r="J14" s="11" t="s">
        <v>243</v>
      </c>
      <c r="K14" s="11" t="s">
        <v>181</v>
      </c>
      <c r="L14" s="7" t="s">
        <v>175</v>
      </c>
      <c r="M14" s="7" t="s">
        <v>206</v>
      </c>
      <c r="N14" s="7" t="str">
        <f>"CopyAbility("&amp;CHAR(34)&amp;C14&amp;CHAR(34)&amp;","&amp;E14&amp;","&amp;G14&amp;","&amp;H14&amp;","&amp;I14&amp;","&amp;J14&amp;","&amp;CHAR(34)&amp;K14&amp;CHAR(34)&amp;","&amp;CHAR(34)&amp;L14&amp;CHAR(34)&amp;")"</f>
        <v>CopyAbility("Fight Fire with Fire!",5,6,5,0x0005,0x0061,"first","burning")</v>
      </c>
    </row>
    <row r="15" spans="1:14" x14ac:dyDescent="0.25">
      <c r="A15" s="7">
        <v>95</v>
      </c>
      <c r="B15" s="8" t="s">
        <v>174</v>
      </c>
      <c r="C15" s="5" t="str">
        <f t="shared" ref="C15" si="7">"Copy " &amp;G15&amp;"-"&amp;H15</f>
        <v>Copy 7-4</v>
      </c>
      <c r="D15" s="5" t="s">
        <v>11</v>
      </c>
      <c r="E15" s="7">
        <v>5</v>
      </c>
      <c r="F15" s="7" t="str">
        <f t="shared" si="4"/>
        <v>Start with or obtain the wheel ability in the third section of 7-4 and complete the level without losing it</v>
      </c>
      <c r="G15" s="7">
        <v>7</v>
      </c>
      <c r="H15" s="12">
        <v>4</v>
      </c>
      <c r="I15" s="11" t="s">
        <v>244</v>
      </c>
      <c r="J15" s="11" t="s">
        <v>245</v>
      </c>
      <c r="K15" s="11" t="s">
        <v>192</v>
      </c>
      <c r="L15" s="7" t="s">
        <v>198</v>
      </c>
      <c r="M15" s="7" t="s">
        <v>198</v>
      </c>
      <c r="N15" s="7" t="str">
        <f t="shared" ref="N15:N22" si="8">"CopyAbility("&amp;CHAR(34)&amp;C15&amp;CHAR(34)&amp;","&amp;E15&amp;","&amp;G15&amp;","&amp;H15&amp;","&amp;I15&amp;","&amp;J15&amp;","&amp;CHAR(34)&amp;K15&amp;CHAR(34)&amp;","&amp;CHAR(34)&amp;L15&amp;CHAR(34)&amp;")"</f>
        <v>CopyAbility("Copy 7-4",5,7,4,0x0090,0x0091,"third","wheel")</v>
      </c>
    </row>
    <row r="16" spans="1:14" x14ac:dyDescent="0.25">
      <c r="A16" s="7">
        <v>61</v>
      </c>
      <c r="B16" s="8" t="s">
        <v>174</v>
      </c>
      <c r="C16" s="5" t="s">
        <v>250</v>
      </c>
      <c r="D16" s="5" t="s">
        <v>9</v>
      </c>
      <c r="E16" s="7">
        <v>3</v>
      </c>
      <c r="F16" s="7" t="str">
        <f t="shared" si="4"/>
        <v>Start with or obtain the fire ability in the first section of 1-3 and complete the level without losing it</v>
      </c>
      <c r="G16" s="7">
        <v>1</v>
      </c>
      <c r="H16" s="12">
        <v>3</v>
      </c>
      <c r="I16" s="11" t="s">
        <v>223</v>
      </c>
      <c r="J16" s="11" t="s">
        <v>230</v>
      </c>
      <c r="K16" s="11" t="s">
        <v>181</v>
      </c>
      <c r="L16" s="7" t="s">
        <v>179</v>
      </c>
      <c r="M16" s="7" t="s">
        <v>179</v>
      </c>
      <c r="N16" s="7" t="str">
        <f t="shared" si="8"/>
        <v>CopyAbility("Prairie Fire!",3,1,3,0x0000,0x0035,"first","fire")</v>
      </c>
    </row>
    <row r="17" spans="1:14" x14ac:dyDescent="0.25">
      <c r="A17" s="7">
        <v>63</v>
      </c>
      <c r="B17" s="8" t="s">
        <v>174</v>
      </c>
      <c r="C17" s="5" t="s">
        <v>251</v>
      </c>
      <c r="D17" s="5" t="s">
        <v>9</v>
      </c>
      <c r="E17" s="7">
        <f>VLOOKUP(D17,Stats!$A$1:$B$10,2,FALSE)</f>
        <v>3</v>
      </c>
      <c r="F17" s="7" t="str">
        <f t="shared" si="4"/>
        <v>Start with or obtain the parasol ability in the second section of 2-1 and complete the level without losing it</v>
      </c>
      <c r="G17" s="7">
        <v>2</v>
      </c>
      <c r="H17" s="12">
        <v>1</v>
      </c>
      <c r="I17" s="11" t="s">
        <v>231</v>
      </c>
      <c r="J17" s="11" t="s">
        <v>232</v>
      </c>
      <c r="K17" s="12" t="s">
        <v>182</v>
      </c>
      <c r="L17" s="7" t="s">
        <v>183</v>
      </c>
      <c r="M17" s="7" t="s">
        <v>183</v>
      </c>
      <c r="N17" s="7" t="str">
        <f t="shared" si="8"/>
        <v>CopyAbility("Beach Umbrella!",3,2,1,0x00a9,0x00ab,"second","parasol")</v>
      </c>
    </row>
    <row r="18" spans="1:14" ht="15.75" x14ac:dyDescent="0.25">
      <c r="A18" s="7">
        <v>70</v>
      </c>
      <c r="B18" s="8" t="s">
        <v>174</v>
      </c>
      <c r="C18" s="5" t="s">
        <v>258</v>
      </c>
      <c r="D18" s="5" t="s">
        <v>11</v>
      </c>
      <c r="E18" s="7">
        <f>VLOOKUP(D18,Stats!$A$1:$B$10,2,FALSE)</f>
        <v>5</v>
      </c>
      <c r="F18" s="7" t="str">
        <f t="shared" si="4"/>
        <v>Start with or obtain the sword ability in the first section of 3-3 and complete the level without losing it</v>
      </c>
      <c r="G18" s="7">
        <v>3</v>
      </c>
      <c r="H18" s="12">
        <v>3</v>
      </c>
      <c r="I18" s="11" t="s">
        <v>225</v>
      </c>
      <c r="J18" s="11" t="s">
        <v>235</v>
      </c>
      <c r="K18" s="14" t="s">
        <v>181</v>
      </c>
      <c r="L18" s="7" t="s">
        <v>184</v>
      </c>
      <c r="M18" s="7" t="s">
        <v>184</v>
      </c>
      <c r="N18" s="7" t="str">
        <f t="shared" si="8"/>
        <v>CopyAbility("Show Your Claws!",5,3,3,0x0002,0x00d3,"first","sword")</v>
      </c>
    </row>
    <row r="19" spans="1:14" x14ac:dyDescent="0.25">
      <c r="A19" s="7">
        <v>79</v>
      </c>
      <c r="B19" s="8" t="s">
        <v>174</v>
      </c>
      <c r="C19" s="5" t="str">
        <f t="shared" ref="C19:C22" si="9">"Copy " &amp;G19&amp;"-"&amp;H19</f>
        <v>Copy 4-6</v>
      </c>
      <c r="D19" s="5" t="s">
        <v>11</v>
      </c>
      <c r="E19" s="7">
        <f>VLOOKUP(D19,Stats!$A$1:$B$10,2,FALSE)</f>
        <v>5</v>
      </c>
      <c r="F19" s="7" t="str">
        <f t="shared" si="4"/>
        <v>Start with or obtain the wheel ability in the first section of 4-6 and complete the level without losing it</v>
      </c>
      <c r="G19" s="7">
        <v>4</v>
      </c>
      <c r="H19" s="12">
        <v>6</v>
      </c>
      <c r="I19" s="11" t="s">
        <v>226</v>
      </c>
      <c r="J19" s="11" t="s">
        <v>237</v>
      </c>
      <c r="K19" s="12" t="s">
        <v>181</v>
      </c>
      <c r="L19" s="7" t="s">
        <v>198</v>
      </c>
      <c r="M19" s="7" t="s">
        <v>198</v>
      </c>
      <c r="N19" s="7" t="str">
        <f t="shared" si="8"/>
        <v>CopyAbility("Copy 4-6",5,4,6,0x0003,0x0104,"first","wheel")</v>
      </c>
    </row>
    <row r="20" spans="1:14" x14ac:dyDescent="0.25">
      <c r="A20" s="7">
        <v>81</v>
      </c>
      <c r="B20" s="8" t="s">
        <v>174</v>
      </c>
      <c r="C20" s="5" t="str">
        <f t="shared" si="9"/>
        <v>Copy 5-2</v>
      </c>
      <c r="D20" s="5" t="s">
        <v>11</v>
      </c>
      <c r="E20" s="7">
        <f>VLOOKUP(D20,Stats!$A$1:$B$10,2,FALSE)</f>
        <v>5</v>
      </c>
      <c r="F20" s="7" t="str">
        <f t="shared" si="4"/>
        <v>Start with or obtain the sword ability in the second section of 5-2 and complete the level without losing it</v>
      </c>
      <c r="G20" s="7">
        <v>5</v>
      </c>
      <c r="H20" s="12">
        <v>2</v>
      </c>
      <c r="I20" s="11" t="s">
        <v>238</v>
      </c>
      <c r="J20" s="11" t="s">
        <v>239</v>
      </c>
      <c r="K20" s="12" t="s">
        <v>182</v>
      </c>
      <c r="L20" s="7" t="s">
        <v>184</v>
      </c>
      <c r="M20" s="7" t="s">
        <v>188</v>
      </c>
      <c r="N20" s="7" t="str">
        <f t="shared" si="8"/>
        <v>CopyAbility("Copy 5-2",5,5,2,0x0116,0x0117,"second","sword")</v>
      </c>
    </row>
    <row r="21" spans="1:14" x14ac:dyDescent="0.25">
      <c r="A21" s="7">
        <v>87</v>
      </c>
      <c r="B21" s="8" t="s">
        <v>174</v>
      </c>
      <c r="C21" s="5" t="str">
        <f t="shared" si="9"/>
        <v>Copy 6-2</v>
      </c>
      <c r="D21" s="5" t="s">
        <v>11</v>
      </c>
      <c r="E21" s="7">
        <f>VLOOKUP(D21,Stats!$A$1:$B$10,2,FALSE)</f>
        <v>5</v>
      </c>
      <c r="F21" s="7" t="str">
        <f t="shared" si="4"/>
        <v>Start with or obtain the sword ability in the third section of 6-2 and complete the level without losing it</v>
      </c>
      <c r="G21" s="7">
        <v>6</v>
      </c>
      <c r="H21" s="12">
        <v>2</v>
      </c>
      <c r="I21" s="11" t="s">
        <v>242</v>
      </c>
      <c r="J21" s="11" t="s">
        <v>241</v>
      </c>
      <c r="K21" s="12" t="s">
        <v>192</v>
      </c>
      <c r="L21" s="7" t="s">
        <v>184</v>
      </c>
      <c r="M21" s="7" t="s">
        <v>184</v>
      </c>
      <c r="N21" s="7" t="str">
        <f t="shared" si="8"/>
        <v>CopyAbility("Copy 6-2",5,6,2,0x0044,0x0043,"third","sword")</v>
      </c>
    </row>
    <row r="22" spans="1:14" x14ac:dyDescent="0.25">
      <c r="A22" s="7">
        <v>96</v>
      </c>
      <c r="B22" s="8" t="s">
        <v>174</v>
      </c>
      <c r="C22" s="5" t="str">
        <f t="shared" si="9"/>
        <v>Copy 7-5</v>
      </c>
      <c r="D22" s="5" t="s">
        <v>11</v>
      </c>
      <c r="E22" s="7">
        <f>VLOOKUP(D22,Stats!$A$1:$B$10,2,FALSE)</f>
        <v>5</v>
      </c>
      <c r="F22" s="7" t="str">
        <f t="shared" si="4"/>
        <v>Start with or obtain the rock ability in the fourth section of 7-5 and complete the level without losing it</v>
      </c>
      <c r="G22" s="7">
        <v>7</v>
      </c>
      <c r="H22" s="12">
        <v>5</v>
      </c>
      <c r="I22" s="11" t="s">
        <v>246</v>
      </c>
      <c r="J22" s="11" t="s">
        <v>247</v>
      </c>
      <c r="K22" s="12" t="s">
        <v>189</v>
      </c>
      <c r="L22" s="7" t="s">
        <v>185</v>
      </c>
      <c r="M22" s="7" t="s">
        <v>209</v>
      </c>
      <c r="N22" s="7" t="str">
        <f t="shared" si="8"/>
        <v>CopyAbility("Copy 7-5",5,7,5,0x00a3,0x00a5,"fourth","rock")</v>
      </c>
    </row>
    <row r="23" spans="1:14" x14ac:dyDescent="0.25">
      <c r="B23" s="8"/>
      <c r="C23" s="5"/>
      <c r="F23" s="7"/>
    </row>
    <row r="24" spans="1:14" x14ac:dyDescent="0.25">
      <c r="B24" s="8"/>
      <c r="C24" s="5"/>
      <c r="F24" s="7"/>
    </row>
    <row r="25" spans="1:14" x14ac:dyDescent="0.25">
      <c r="B25" s="8"/>
      <c r="C25" s="5"/>
      <c r="F25" s="7"/>
    </row>
    <row r="26" spans="1:14" x14ac:dyDescent="0.25">
      <c r="B26" s="8"/>
      <c r="C26" s="5"/>
      <c r="F26" s="7"/>
    </row>
    <row r="27" spans="1:14" x14ac:dyDescent="0.25">
      <c r="B27" s="8"/>
      <c r="C27" s="5"/>
      <c r="F27" s="7"/>
    </row>
    <row r="28" spans="1:14" x14ac:dyDescent="0.25">
      <c r="B28" s="8"/>
      <c r="C28" s="5"/>
      <c r="F28" s="7"/>
    </row>
    <row r="29" spans="1:14" x14ac:dyDescent="0.25">
      <c r="B29" s="8"/>
      <c r="C29" s="5"/>
      <c r="F29" s="7"/>
    </row>
    <row r="30" spans="1:14" x14ac:dyDescent="0.25">
      <c r="B30" s="8"/>
      <c r="C30" s="5"/>
      <c r="F30" s="7"/>
    </row>
    <row r="31" spans="1:14" x14ac:dyDescent="0.25">
      <c r="B31" s="8"/>
      <c r="C31" s="5"/>
      <c r="F31" s="7"/>
    </row>
    <row r="32" spans="1:14" x14ac:dyDescent="0.25">
      <c r="B32" s="8"/>
      <c r="C32" s="5"/>
      <c r="F32" s="7"/>
    </row>
    <row r="33" spans="1:6" x14ac:dyDescent="0.25">
      <c r="B33" s="8"/>
      <c r="C33" s="5"/>
      <c r="F33" s="7"/>
    </row>
    <row r="34" spans="1:6" x14ac:dyDescent="0.25">
      <c r="B34" s="8"/>
      <c r="C34" s="5"/>
      <c r="F34" s="7"/>
    </row>
    <row r="35" spans="1:6" x14ac:dyDescent="0.25">
      <c r="B35" s="8"/>
      <c r="C35" s="10"/>
    </row>
    <row r="36" spans="1:6" x14ac:dyDescent="0.25">
      <c r="B36" s="8"/>
      <c r="C36" s="5"/>
    </row>
    <row r="37" spans="1:6" x14ac:dyDescent="0.25">
      <c r="A37" s="2"/>
      <c r="B37" s="5"/>
      <c r="D37" s="7"/>
      <c r="E37" s="5"/>
      <c r="F37" s="1"/>
    </row>
    <row r="38" spans="1:6" x14ac:dyDescent="0.25">
      <c r="A38" s="2"/>
      <c r="B38" s="5"/>
      <c r="D38" s="7"/>
      <c r="E38" s="5"/>
      <c r="F38" s="1"/>
    </row>
    <row r="39" spans="1:6" x14ac:dyDescent="0.25">
      <c r="A39" s="2"/>
      <c r="B39" s="5"/>
      <c r="D39" s="7"/>
      <c r="E39" s="5"/>
      <c r="F39" s="1"/>
    </row>
    <row r="40" spans="1:6" x14ac:dyDescent="0.25">
      <c r="A40" s="2"/>
      <c r="B40" s="5"/>
      <c r="D40" s="7"/>
      <c r="E40" s="5"/>
      <c r="F40" s="1"/>
    </row>
    <row r="41" spans="1:6" x14ac:dyDescent="0.25">
      <c r="A41" s="2"/>
      <c r="B41" s="5"/>
      <c r="D41" s="7"/>
      <c r="E41" s="5"/>
      <c r="F41" s="1"/>
    </row>
    <row r="42" spans="1:6" x14ac:dyDescent="0.25">
      <c r="A42" s="2"/>
      <c r="B42" s="5"/>
      <c r="D42" s="7"/>
      <c r="E42" s="5"/>
      <c r="F42" s="1"/>
    </row>
    <row r="43" spans="1:6" x14ac:dyDescent="0.25">
      <c r="A43" s="2"/>
      <c r="B43" s="5"/>
      <c r="D43" s="7"/>
      <c r="E43" s="5"/>
      <c r="F43" s="1"/>
    </row>
    <row r="44" spans="1:6" x14ac:dyDescent="0.25">
      <c r="A44" s="2"/>
      <c r="B44" s="5"/>
      <c r="D44" s="7"/>
      <c r="E44" s="5"/>
      <c r="F44" s="1"/>
    </row>
    <row r="45" spans="1:6" x14ac:dyDescent="0.25">
      <c r="A45" s="2"/>
      <c r="B45" s="5"/>
      <c r="D45" s="7"/>
      <c r="E45" s="5"/>
      <c r="F45" s="1"/>
    </row>
    <row r="46" spans="1:6" x14ac:dyDescent="0.25">
      <c r="A46" s="2"/>
      <c r="B46" s="5"/>
      <c r="D46" s="7"/>
      <c r="E46" s="5"/>
      <c r="F46" s="1"/>
    </row>
    <row r="47" spans="1:6" x14ac:dyDescent="0.25">
      <c r="A47" s="2"/>
      <c r="B47" s="5"/>
      <c r="D47" s="7"/>
      <c r="E47" s="5"/>
      <c r="F47" s="1"/>
    </row>
    <row r="48" spans="1:6" x14ac:dyDescent="0.25">
      <c r="A48" s="2"/>
      <c r="B48" s="5"/>
      <c r="D48" s="7"/>
      <c r="E48" s="5"/>
      <c r="F48" s="1"/>
    </row>
    <row r="49" spans="1:6" x14ac:dyDescent="0.25">
      <c r="A49" s="2"/>
      <c r="B49" s="5"/>
      <c r="D49" s="7"/>
      <c r="E49" s="5"/>
      <c r="F49" s="1"/>
    </row>
    <row r="50" spans="1:6" x14ac:dyDescent="0.25">
      <c r="A50" s="2"/>
      <c r="B50" s="5"/>
      <c r="D50" s="7"/>
      <c r="E50" s="5"/>
      <c r="F50" s="1"/>
    </row>
    <row r="51" spans="1:6" x14ac:dyDescent="0.25">
      <c r="A51" s="2"/>
      <c r="B51" s="5"/>
      <c r="D51" s="7"/>
      <c r="E51" s="5"/>
      <c r="F51" s="1"/>
    </row>
    <row r="52" spans="1:6" x14ac:dyDescent="0.25">
      <c r="A52" s="2"/>
      <c r="B52" s="5"/>
      <c r="D52" s="7"/>
      <c r="E52" s="5"/>
      <c r="F52" s="1"/>
    </row>
    <row r="53" spans="1:6" x14ac:dyDescent="0.25">
      <c r="A53" s="2"/>
      <c r="B53" s="5"/>
      <c r="D53" s="7"/>
      <c r="E53" s="5"/>
      <c r="F53" s="1"/>
    </row>
    <row r="54" spans="1:6" x14ac:dyDescent="0.25">
      <c r="A54" s="2"/>
      <c r="B54" s="5"/>
      <c r="D54" s="7"/>
      <c r="E54" s="5"/>
      <c r="F54" s="1"/>
    </row>
    <row r="55" spans="1:6" x14ac:dyDescent="0.25">
      <c r="A55" s="2"/>
      <c r="B55" s="5"/>
      <c r="D55" s="7"/>
      <c r="E55" s="5"/>
      <c r="F55" s="1"/>
    </row>
    <row r="56" spans="1:6" x14ac:dyDescent="0.25">
      <c r="A56" s="2"/>
      <c r="B56" s="5"/>
      <c r="D56" s="7"/>
      <c r="E56" s="5"/>
      <c r="F56" s="1"/>
    </row>
    <row r="57" spans="1:6" x14ac:dyDescent="0.25">
      <c r="A57" s="2"/>
      <c r="B57" s="5"/>
      <c r="D57" s="7"/>
      <c r="E57" s="5"/>
      <c r="F57" s="1"/>
    </row>
    <row r="58" spans="1:6" x14ac:dyDescent="0.25">
      <c r="A58" s="2"/>
      <c r="B58" s="5"/>
      <c r="D58" s="7"/>
      <c r="E58" s="5"/>
      <c r="F58" s="1"/>
    </row>
    <row r="59" spans="1:6" ht="13.5" customHeight="1" x14ac:dyDescent="0.25"/>
  </sheetData>
  <conditionalFormatting sqref="L14">
    <cfRule type="duplicateValues" dxfId="13" priority="17"/>
  </conditionalFormatting>
  <conditionalFormatting sqref="L15">
    <cfRule type="duplicateValues" dxfId="12" priority="16"/>
  </conditionalFormatting>
  <conditionalFormatting sqref="L13">
    <cfRule type="duplicateValues" dxfId="11" priority="15"/>
  </conditionalFormatting>
  <conditionalFormatting sqref="L12">
    <cfRule type="duplicateValues" dxfId="10" priority="14"/>
  </conditionalFormatting>
  <conditionalFormatting sqref="L11">
    <cfRule type="duplicateValues" dxfId="9" priority="13"/>
  </conditionalFormatting>
  <conditionalFormatting sqref="L10">
    <cfRule type="duplicateValues" dxfId="8" priority="10"/>
  </conditionalFormatting>
  <conditionalFormatting sqref="L9">
    <cfRule type="duplicateValues" dxfId="7" priority="9"/>
  </conditionalFormatting>
  <conditionalFormatting sqref="L16">
    <cfRule type="duplicateValues" dxfId="6" priority="7"/>
  </conditionalFormatting>
  <conditionalFormatting sqref="L17">
    <cfRule type="duplicateValues" dxfId="5" priority="6"/>
  </conditionalFormatting>
  <conditionalFormatting sqref="L18">
    <cfRule type="duplicateValues" dxfId="4" priority="5"/>
  </conditionalFormatting>
  <conditionalFormatting sqref="L19">
    <cfRule type="duplicateValues" dxfId="3" priority="4"/>
  </conditionalFormatting>
  <conditionalFormatting sqref="L20">
    <cfRule type="duplicateValues" dxfId="2" priority="3"/>
  </conditionalFormatting>
  <conditionalFormatting sqref="L21">
    <cfRule type="duplicateValues" dxfId="1" priority="2"/>
  </conditionalFormatting>
  <conditionalFormatting sqref="L22">
    <cfRule type="duplicateValues" dxfId="0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Stats!$A$2:$A$10</xm:f>
          </x14:formula1>
          <xm:sqref>C37:C58 D2:D10 D17:D36</xm:sqref>
        </x14:dataValidation>
        <x14:dataValidation type="list" allowBlank="1" showInputMessage="1" showErrorMessage="1">
          <x14:formula1>
            <xm:f>[1]Stats!#REF!</xm:f>
          </x14:formula1>
          <xm:sqref>D11:D16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"/>
  <sheetViews>
    <sheetView workbookViewId="0">
      <selection activeCell="A18" sqref="A18"/>
    </sheetView>
  </sheetViews>
  <sheetFormatPr defaultRowHeight="15" x14ac:dyDescent="0.25"/>
  <cols>
    <col min="1" max="1" width="32" customWidth="1"/>
    <col min="2" max="2" width="83.85546875" style="7" bestFit="1" customWidth="1"/>
  </cols>
  <sheetData>
    <row r="1" spans="1:2" s="7" customFormat="1" x14ac:dyDescent="0.25">
      <c r="A1" s="1" t="s">
        <v>21</v>
      </c>
      <c r="B1" s="1" t="s">
        <v>0</v>
      </c>
    </row>
    <row r="2" spans="1:2" s="7" customFormat="1" x14ac:dyDescent="0.25">
      <c r="A2" s="5" t="s">
        <v>79</v>
      </c>
      <c r="B2" s="7" t="s">
        <v>108</v>
      </c>
    </row>
    <row r="3" spans="1:2" s="7" customFormat="1" x14ac:dyDescent="0.25">
      <c r="A3" s="7" t="s">
        <v>81</v>
      </c>
      <c r="B3" s="7" t="s">
        <v>95</v>
      </c>
    </row>
    <row r="4" spans="1:2" x14ac:dyDescent="0.25">
      <c r="A4" s="7" t="s">
        <v>82</v>
      </c>
      <c r="B4" s="7" t="s">
        <v>101</v>
      </c>
    </row>
    <row r="5" spans="1:2" s="7" customFormat="1" x14ac:dyDescent="0.25">
      <c r="A5" s="7" t="s">
        <v>83</v>
      </c>
      <c r="B5" s="7" t="s">
        <v>102</v>
      </c>
    </row>
    <row r="6" spans="1:2" s="7" customFormat="1" x14ac:dyDescent="0.25">
      <c r="A6" s="7" t="s">
        <v>84</v>
      </c>
      <c r="B6" s="7" t="s">
        <v>103</v>
      </c>
    </row>
    <row r="7" spans="1:2" s="7" customFormat="1" x14ac:dyDescent="0.25">
      <c r="A7" s="7" t="s">
        <v>85</v>
      </c>
      <c r="B7" s="7" t="s">
        <v>104</v>
      </c>
    </row>
    <row r="8" spans="1:2" s="7" customFormat="1" x14ac:dyDescent="0.25">
      <c r="A8" s="7" t="s">
        <v>86</v>
      </c>
      <c r="B8" s="7" t="s">
        <v>105</v>
      </c>
    </row>
    <row r="9" spans="1:2" x14ac:dyDescent="0.25">
      <c r="A9" s="7" t="s">
        <v>87</v>
      </c>
      <c r="B9" s="7" t="s">
        <v>106</v>
      </c>
    </row>
    <row r="10" spans="1:2" x14ac:dyDescent="0.25">
      <c r="A10" s="5" t="s">
        <v>80</v>
      </c>
      <c r="B10" s="7" t="s">
        <v>107</v>
      </c>
    </row>
    <row r="11" spans="1:2" x14ac:dyDescent="0.25">
      <c r="A11" s="7" t="s">
        <v>88</v>
      </c>
      <c r="B11" s="7" t="s">
        <v>96</v>
      </c>
    </row>
    <row r="12" spans="1:2" x14ac:dyDescent="0.25">
      <c r="A12" s="7" t="s">
        <v>89</v>
      </c>
      <c r="B12" s="7" t="s">
        <v>97</v>
      </c>
    </row>
    <row r="13" spans="1:2" x14ac:dyDescent="0.25">
      <c r="A13" s="7" t="s">
        <v>90</v>
      </c>
      <c r="B13" s="7" t="s">
        <v>98</v>
      </c>
    </row>
    <row r="14" spans="1:2" x14ac:dyDescent="0.25">
      <c r="A14" s="7" t="s">
        <v>91</v>
      </c>
      <c r="B14" s="7" t="s">
        <v>109</v>
      </c>
    </row>
    <row r="15" spans="1:2" x14ac:dyDescent="0.25">
      <c r="A15" s="7" t="s">
        <v>92</v>
      </c>
      <c r="B15" s="7" t="s">
        <v>99</v>
      </c>
    </row>
    <row r="16" spans="1:2" x14ac:dyDescent="0.25">
      <c r="A16" s="7" t="s">
        <v>93</v>
      </c>
      <c r="B16" s="7" t="s">
        <v>110</v>
      </c>
    </row>
    <row r="17" spans="1:2" x14ac:dyDescent="0.25">
      <c r="A17" s="7" t="s">
        <v>94</v>
      </c>
      <c r="B17" s="7" t="s">
        <v>100</v>
      </c>
    </row>
    <row r="18" spans="1:2" x14ac:dyDescent="0.25">
      <c r="A18" t="s">
        <v>111</v>
      </c>
      <c r="B18" s="7" t="s">
        <v>113</v>
      </c>
    </row>
    <row r="19" spans="1:2" x14ac:dyDescent="0.25">
      <c r="A19" t="s">
        <v>172</v>
      </c>
      <c r="B19" s="7" t="s">
        <v>173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49"/>
  <sheetViews>
    <sheetView workbookViewId="0">
      <pane ySplit="1" topLeftCell="A17" activePane="bottomLeft" state="frozen"/>
      <selection activeCell="B1" sqref="B1"/>
      <selection pane="bottomLeft" activeCell="A40" sqref="A40"/>
    </sheetView>
  </sheetViews>
  <sheetFormatPr defaultRowHeight="15" x14ac:dyDescent="0.25"/>
  <cols>
    <col min="1" max="1" width="123.42578125" style="7" bestFit="1" customWidth="1"/>
    <col min="2" max="4" width="9.140625" style="7"/>
    <col min="5" max="5" width="19.5703125" bestFit="1" customWidth="1"/>
    <col min="6" max="6" width="8.140625" style="7" bestFit="1" customWidth="1"/>
    <col min="7" max="7" width="8" style="7" bestFit="1" customWidth="1"/>
    <col min="8" max="8" width="14.7109375" style="7" bestFit="1" customWidth="1"/>
    <col min="9" max="9" width="10.42578125" bestFit="1" customWidth="1"/>
  </cols>
  <sheetData>
    <row r="1" spans="1:26" s="7" customFormat="1" x14ac:dyDescent="0.25">
      <c r="A1" s="7" t="s">
        <v>222</v>
      </c>
      <c r="B1" s="7" t="s">
        <v>211</v>
      </c>
      <c r="C1" s="7" t="s">
        <v>212</v>
      </c>
      <c r="D1" s="7" t="s">
        <v>386</v>
      </c>
      <c r="E1" s="7" t="s">
        <v>387</v>
      </c>
      <c r="F1" s="7" t="s">
        <v>597</v>
      </c>
      <c r="G1" s="7" t="s">
        <v>598</v>
      </c>
      <c r="H1" s="7" t="s">
        <v>389</v>
      </c>
      <c r="I1" s="7" t="s">
        <v>376</v>
      </c>
      <c r="J1" s="7" t="s">
        <v>377</v>
      </c>
      <c r="K1" s="7" t="s">
        <v>378</v>
      </c>
      <c r="L1" s="7" t="s">
        <v>379</v>
      </c>
      <c r="M1" s="7" t="s">
        <v>380</v>
      </c>
      <c r="N1" s="7" t="s">
        <v>381</v>
      </c>
      <c r="O1" s="7" t="s">
        <v>382</v>
      </c>
      <c r="P1" s="7" t="s">
        <v>383</v>
      </c>
      <c r="Q1" s="7" t="s">
        <v>384</v>
      </c>
      <c r="R1" s="7" t="s">
        <v>385</v>
      </c>
      <c r="S1" s="7" t="s">
        <v>531</v>
      </c>
      <c r="T1" s="7" t="s">
        <v>532</v>
      </c>
      <c r="U1" s="7" t="s">
        <v>533</v>
      </c>
      <c r="V1" s="7" t="s">
        <v>534</v>
      </c>
      <c r="W1" s="7" t="s">
        <v>535</v>
      </c>
      <c r="X1" s="7" t="s">
        <v>536</v>
      </c>
      <c r="Y1" s="7" t="s">
        <v>537</v>
      </c>
      <c r="Z1" s="7" t="s">
        <v>538</v>
      </c>
    </row>
    <row r="2" spans="1:26" x14ac:dyDescent="0.25">
      <c r="A2" s="7" t="str">
        <f>D2&amp;": ["&amp;CHAR(34)&amp;E2&amp;CHAR(34)&amp;", "&amp;Join(F2:Z2,", ")&amp;"],"</f>
        <v>0x11: ["Pumpkin Path", 0, 0, BonusJump(), 0x00, 0x2b, 0x2c, 0x15, 0x2d],</v>
      </c>
      <c r="B2" s="7">
        <v>1</v>
      </c>
      <c r="C2" s="7">
        <v>1</v>
      </c>
      <c r="D2" s="7" t="str">
        <f>"0x"&amp;B2&amp;C2</f>
        <v>0x11</v>
      </c>
      <c r="E2" t="s">
        <v>333</v>
      </c>
      <c r="F2" s="7">
        <f>B2-1</f>
        <v>0</v>
      </c>
      <c r="G2" s="7">
        <f>C2-1</f>
        <v>0</v>
      </c>
      <c r="H2" s="7" t="s">
        <v>390</v>
      </c>
      <c r="I2" t="s">
        <v>391</v>
      </c>
      <c r="J2" t="s">
        <v>393</v>
      </c>
      <c r="K2" s="7" t="s">
        <v>394</v>
      </c>
      <c r="L2" t="s">
        <v>395</v>
      </c>
      <c r="M2" t="s">
        <v>396</v>
      </c>
    </row>
    <row r="3" spans="1:26" x14ac:dyDescent="0.25">
      <c r="A3" s="7" t="str">
        <f t="shared" ref="A3:A49" si="0">D3&amp;": ["&amp;CHAR(34)&amp;E3&amp;CHAR(34)&amp;", "&amp;Join(F3:Z3,", ")&amp;"],"</f>
        <v>0x12: ["Summit Scares", 0, 1, BonusJump(), 0x00, 0x2f, 0x31, 0x32, 0x33],</v>
      </c>
      <c r="B3" s="7">
        <v>1</v>
      </c>
      <c r="C3" s="7">
        <v>2</v>
      </c>
      <c r="D3" s="7" t="str">
        <f t="shared" ref="D3:D48" si="1">"0x"&amp;B3&amp;C3</f>
        <v>0x12</v>
      </c>
      <c r="E3" t="s">
        <v>334</v>
      </c>
      <c r="F3" s="7">
        <f t="shared" ref="F3:F49" si="2">B3-1</f>
        <v>0</v>
      </c>
      <c r="G3" s="7">
        <f t="shared" ref="G3:G48" si="3">C3-1</f>
        <v>1</v>
      </c>
      <c r="H3" s="7" t="s">
        <v>390</v>
      </c>
      <c r="I3" t="s">
        <v>391</v>
      </c>
      <c r="J3" t="s">
        <v>397</v>
      </c>
      <c r="K3" t="s">
        <v>398</v>
      </c>
      <c r="L3" s="7" t="s">
        <v>399</v>
      </c>
      <c r="M3" s="7" t="s">
        <v>400</v>
      </c>
    </row>
    <row r="4" spans="1:26" x14ac:dyDescent="0.25">
      <c r="A4" s="7" t="str">
        <f t="shared" si="0"/>
        <v>0x13: ["Haunted Hills", 0, 2, BonusJump(), 0x00, 0x35, 0x36, 0x34, 0x37, 0x38],</v>
      </c>
      <c r="B4" s="7">
        <v>1</v>
      </c>
      <c r="C4" s="7">
        <v>3</v>
      </c>
      <c r="D4" s="7" t="str">
        <f t="shared" si="1"/>
        <v>0x13</v>
      </c>
      <c r="E4" t="s">
        <v>335</v>
      </c>
      <c r="F4" s="7">
        <f t="shared" si="2"/>
        <v>0</v>
      </c>
      <c r="G4" s="7">
        <f t="shared" si="3"/>
        <v>2</v>
      </c>
      <c r="H4" s="7" t="s">
        <v>390</v>
      </c>
      <c r="I4" t="s">
        <v>391</v>
      </c>
      <c r="J4" t="s">
        <v>401</v>
      </c>
      <c r="K4" s="7" t="s">
        <v>402</v>
      </c>
      <c r="L4" t="s">
        <v>403</v>
      </c>
      <c r="M4" t="s">
        <v>404</v>
      </c>
      <c r="N4" s="7" t="s">
        <v>405</v>
      </c>
    </row>
    <row r="5" spans="1:26" x14ac:dyDescent="0.25">
      <c r="A5" s="7" t="str">
        <f t="shared" si="0"/>
        <v>0x14: ["Fright Forest", 0, 3, BonusJump(), 0x00, 0x39, 0x3a, 0x3b, 0x3c],</v>
      </c>
      <c r="B5" s="7">
        <v>1</v>
      </c>
      <c r="C5" s="7">
        <v>4</v>
      </c>
      <c r="D5" s="7" t="str">
        <f t="shared" si="1"/>
        <v>0x14</v>
      </c>
      <c r="E5" t="s">
        <v>336</v>
      </c>
      <c r="F5" s="7">
        <f t="shared" si="2"/>
        <v>0</v>
      </c>
      <c r="G5" s="7">
        <f t="shared" si="3"/>
        <v>3</v>
      </c>
      <c r="H5" s="7" t="s">
        <v>390</v>
      </c>
      <c r="I5" t="s">
        <v>391</v>
      </c>
      <c r="J5" t="s">
        <v>406</v>
      </c>
      <c r="K5" t="s">
        <v>407</v>
      </c>
      <c r="L5" t="s">
        <v>408</v>
      </c>
      <c r="M5" t="s">
        <v>409</v>
      </c>
    </row>
    <row r="6" spans="1:26" x14ac:dyDescent="0.25">
      <c r="A6" s="7" t="str">
        <f t="shared" si="0"/>
        <v>0x18: ["Yggy Woods Jr.", 0, 7, BossBeat(0x08), 0x00, 0x08],</v>
      </c>
      <c r="B6" s="7">
        <v>1</v>
      </c>
      <c r="C6" s="7">
        <v>8</v>
      </c>
      <c r="D6" s="7" t="str">
        <f t="shared" si="1"/>
        <v>0x18</v>
      </c>
      <c r="E6" t="s">
        <v>327</v>
      </c>
      <c r="F6" s="7">
        <f t="shared" si="2"/>
        <v>0</v>
      </c>
      <c r="G6" s="7">
        <f t="shared" si="3"/>
        <v>7</v>
      </c>
      <c r="H6" s="7" t="str">
        <f>"BossBeat("&amp;J6&amp;")"</f>
        <v>BossBeat(0x08)</v>
      </c>
      <c r="I6" t="s">
        <v>391</v>
      </c>
      <c r="J6" t="s">
        <v>410</v>
      </c>
    </row>
    <row r="7" spans="1:26" x14ac:dyDescent="0.25">
      <c r="A7" s="7" t="str">
        <f t="shared" si="0"/>
        <v>0x21: ["Skeleton Shore", 1, 0, BonusJump(), 0x01, 0xa9, 0xab, 0xaa, 0xac],</v>
      </c>
      <c r="B7" s="7">
        <v>2</v>
      </c>
      <c r="C7" s="7">
        <v>1</v>
      </c>
      <c r="D7" s="7" t="str">
        <f t="shared" si="1"/>
        <v>0x21</v>
      </c>
      <c r="E7" t="s">
        <v>337</v>
      </c>
      <c r="F7" s="7">
        <f t="shared" si="2"/>
        <v>1</v>
      </c>
      <c r="G7" s="7">
        <f t="shared" si="3"/>
        <v>0</v>
      </c>
      <c r="H7" s="7" t="s">
        <v>390</v>
      </c>
      <c r="I7" t="s">
        <v>411</v>
      </c>
      <c r="J7" t="s">
        <v>412</v>
      </c>
      <c r="K7" t="s">
        <v>413</v>
      </c>
      <c r="L7" s="7" t="s">
        <v>414</v>
      </c>
      <c r="M7" t="s">
        <v>415</v>
      </c>
    </row>
    <row r="8" spans="1:26" x14ac:dyDescent="0.25">
      <c r="A8" s="7" t="str">
        <f t="shared" si="0"/>
        <v>0x22: ["Morning Mangrove", 1, 1, BonusJump(), 0x01, 0xad, 0xab, 0xad, 0xae, 0xaf, 0xb0],</v>
      </c>
      <c r="B8" s="7">
        <v>2</v>
      </c>
      <c r="C8" s="7">
        <v>2</v>
      </c>
      <c r="D8" s="7" t="str">
        <f t="shared" si="1"/>
        <v>0x22</v>
      </c>
      <c r="E8" t="s">
        <v>338</v>
      </c>
      <c r="F8" s="7">
        <f t="shared" si="2"/>
        <v>1</v>
      </c>
      <c r="G8" s="7">
        <f t="shared" si="3"/>
        <v>1</v>
      </c>
      <c r="H8" s="7" t="s">
        <v>390</v>
      </c>
      <c r="I8" t="s">
        <v>411</v>
      </c>
      <c r="J8" t="s">
        <v>416</v>
      </c>
      <c r="K8" s="7" t="s">
        <v>413</v>
      </c>
      <c r="L8" s="7" t="s">
        <v>416</v>
      </c>
      <c r="M8" t="s">
        <v>417</v>
      </c>
      <c r="N8" t="s">
        <v>418</v>
      </c>
      <c r="O8" t="s">
        <v>419</v>
      </c>
    </row>
    <row r="9" spans="1:26" x14ac:dyDescent="0.25">
      <c r="A9" s="7" t="str">
        <f t="shared" si="0"/>
        <v>0x23: ["Sand Sea", 1, 2, BonusJump(), 0x01, 0xb1, 0xb2, 0xb3, 0xb4, 0xb5, 0xb6],</v>
      </c>
      <c r="B9" s="7">
        <v>2</v>
      </c>
      <c r="C9" s="7">
        <v>3</v>
      </c>
      <c r="D9" s="7" t="str">
        <f t="shared" si="1"/>
        <v>0x23</v>
      </c>
      <c r="E9" s="7" t="s">
        <v>339</v>
      </c>
      <c r="F9" s="7">
        <f t="shared" si="2"/>
        <v>1</v>
      </c>
      <c r="G9" s="7">
        <f t="shared" si="3"/>
        <v>2</v>
      </c>
      <c r="H9" s="7" t="s">
        <v>390</v>
      </c>
      <c r="I9" t="s">
        <v>411</v>
      </c>
      <c r="J9" t="s">
        <v>420</v>
      </c>
      <c r="K9" s="7" t="s">
        <v>421</v>
      </c>
      <c r="L9" s="7" t="s">
        <v>422</v>
      </c>
      <c r="M9" s="7" t="s">
        <v>423</v>
      </c>
      <c r="N9" s="7" t="s">
        <v>424</v>
      </c>
      <c r="O9" s="7" t="s">
        <v>425</v>
      </c>
    </row>
    <row r="10" spans="1:26" x14ac:dyDescent="0.25">
      <c r="A10" s="7" t="str">
        <f t="shared" si="0"/>
        <v>0x24: ["West Wilderness", 1, 3, BonusJump(), 0x01, 0xb8, 0xb9, 0xba, 0xbb, 0xbc, 0xbd, 0xbc, 0xbe],</v>
      </c>
      <c r="B10" s="7">
        <v>2</v>
      </c>
      <c r="C10" s="7">
        <v>4</v>
      </c>
      <c r="D10" s="7" t="str">
        <f t="shared" si="1"/>
        <v>0x24</v>
      </c>
      <c r="E10" s="7" t="s">
        <v>340</v>
      </c>
      <c r="F10" s="7">
        <f t="shared" si="2"/>
        <v>1</v>
      </c>
      <c r="G10" s="7">
        <f t="shared" si="3"/>
        <v>3</v>
      </c>
      <c r="H10" s="7" t="s">
        <v>390</v>
      </c>
      <c r="I10" t="s">
        <v>411</v>
      </c>
      <c r="J10" t="s">
        <v>426</v>
      </c>
      <c r="K10" s="7" t="s">
        <v>427</v>
      </c>
      <c r="L10" t="s">
        <v>428</v>
      </c>
      <c r="M10" s="7" t="s">
        <v>429</v>
      </c>
      <c r="N10" t="s">
        <v>430</v>
      </c>
      <c r="O10" t="s">
        <v>431</v>
      </c>
      <c r="P10" s="7" t="s">
        <v>430</v>
      </c>
      <c r="Q10" t="s">
        <v>432</v>
      </c>
    </row>
    <row r="11" spans="1:26" x14ac:dyDescent="0.25">
      <c r="A11" s="7" t="str">
        <f t="shared" si="0"/>
        <v>0x25: ["Colorful Caverns", 1, 4, BonusJump(), 0x01, 0xc1, 0xbf, 0xc0, 0xc2, 0xc4, 0xc5],</v>
      </c>
      <c r="B11" s="7">
        <v>2</v>
      </c>
      <c r="C11" s="7">
        <v>5</v>
      </c>
      <c r="D11" s="7" t="str">
        <f t="shared" si="1"/>
        <v>0x25</v>
      </c>
      <c r="E11" s="7" t="s">
        <v>341</v>
      </c>
      <c r="F11" s="7">
        <f t="shared" si="2"/>
        <v>1</v>
      </c>
      <c r="G11" s="7">
        <f t="shared" si="3"/>
        <v>4</v>
      </c>
      <c r="H11" s="7" t="s">
        <v>390</v>
      </c>
      <c r="I11" t="s">
        <v>411</v>
      </c>
      <c r="J11" t="s">
        <v>433</v>
      </c>
      <c r="K11" t="s">
        <v>434</v>
      </c>
      <c r="L11" t="s">
        <v>435</v>
      </c>
      <c r="M11" t="s">
        <v>436</v>
      </c>
      <c r="N11" t="s">
        <v>437</v>
      </c>
      <c r="O11" s="7" t="s">
        <v>438</v>
      </c>
    </row>
    <row r="12" spans="1:26" x14ac:dyDescent="0.25">
      <c r="A12" s="7" t="str">
        <f t="shared" si="0"/>
        <v>0x28: ["Adeleine", 1, 7, BossBeat(0x09), 0x01, 0x09],</v>
      </c>
      <c r="B12" s="7">
        <v>2</v>
      </c>
      <c r="C12" s="7">
        <v>8</v>
      </c>
      <c r="D12" s="7" t="str">
        <f t="shared" si="1"/>
        <v>0x28</v>
      </c>
      <c r="E12" t="s">
        <v>328</v>
      </c>
      <c r="F12" s="7">
        <f t="shared" si="2"/>
        <v>1</v>
      </c>
      <c r="G12" s="7">
        <f t="shared" si="3"/>
        <v>7</v>
      </c>
      <c r="H12" s="7" t="str">
        <f>"BossBeat("&amp;J12&amp;")"</f>
        <v>BossBeat(0x09)</v>
      </c>
      <c r="I12" t="s">
        <v>411</v>
      </c>
      <c r="J12" t="s">
        <v>439</v>
      </c>
    </row>
    <row r="13" spans="1:26" x14ac:dyDescent="0.25">
      <c r="A13" s="7" t="str">
        <f t="shared" si="0"/>
        <v>0x31: ["Menacing Mansion", 2, 0, BonusJump(), 0x02, 0xc6, 0xc7, 0xc9, 0xc8, 0xcb, 0xca, 0xcf, 0xc9],</v>
      </c>
      <c r="B13" s="7">
        <v>3</v>
      </c>
      <c r="C13" s="7">
        <v>1</v>
      </c>
      <c r="D13" s="7" t="str">
        <f t="shared" si="1"/>
        <v>0x31</v>
      </c>
      <c r="E13" s="7" t="s">
        <v>342</v>
      </c>
      <c r="F13" s="7">
        <f t="shared" si="2"/>
        <v>2</v>
      </c>
      <c r="G13" s="7">
        <f t="shared" si="3"/>
        <v>0</v>
      </c>
      <c r="H13" s="7" t="s">
        <v>390</v>
      </c>
      <c r="I13" t="s">
        <v>440</v>
      </c>
      <c r="J13" t="s">
        <v>441</v>
      </c>
      <c r="K13" s="7" t="s">
        <v>442</v>
      </c>
      <c r="L13" t="s">
        <v>443</v>
      </c>
      <c r="M13" s="7" t="s">
        <v>444</v>
      </c>
      <c r="N13" t="s">
        <v>445</v>
      </c>
      <c r="O13" t="s">
        <v>446</v>
      </c>
      <c r="P13" t="s">
        <v>447</v>
      </c>
      <c r="Q13" s="7" t="s">
        <v>443</v>
      </c>
    </row>
    <row r="14" spans="1:26" x14ac:dyDescent="0.25">
      <c r="A14" s="7" t="str">
        <f t="shared" si="0"/>
        <v>0x32: ["Aquarium Altars", 2, 1, BonusJump(), 0x02, 0xcc, 0xce, 0xcd, 0xcc, 0xcf, 0xcc, 0xb7, 0xd0, 0xd2],</v>
      </c>
      <c r="B14" s="7">
        <v>3</v>
      </c>
      <c r="C14" s="7">
        <v>2</v>
      </c>
      <c r="D14" s="7" t="str">
        <f t="shared" si="1"/>
        <v>0x32</v>
      </c>
      <c r="E14" s="7" t="s">
        <v>343</v>
      </c>
      <c r="F14" s="7">
        <f t="shared" si="2"/>
        <v>2</v>
      </c>
      <c r="G14" s="7">
        <f t="shared" si="3"/>
        <v>1</v>
      </c>
      <c r="H14" s="7" t="s">
        <v>390</v>
      </c>
      <c r="I14" t="s">
        <v>440</v>
      </c>
      <c r="J14" t="s">
        <v>448</v>
      </c>
      <c r="K14" s="7" t="s">
        <v>449</v>
      </c>
      <c r="L14" t="s">
        <v>450</v>
      </c>
      <c r="M14" s="7" t="s">
        <v>448</v>
      </c>
      <c r="N14" s="7" t="s">
        <v>447</v>
      </c>
      <c r="O14" s="7" t="s">
        <v>448</v>
      </c>
      <c r="P14" t="s">
        <v>451</v>
      </c>
      <c r="Q14" t="s">
        <v>452</v>
      </c>
      <c r="R14" s="7" t="s">
        <v>453</v>
      </c>
    </row>
    <row r="15" spans="1:26" x14ac:dyDescent="0.25">
      <c r="A15" s="7" t="str">
        <f t="shared" si="0"/>
        <v>0x33: ["Phantom Pyramid", 2, 2, BonusJump(), 0x02, 0xd3, 0xd4, 0xd0, 0xd6, 0xd0, 0xd6, 0xd0, 0xd5],</v>
      </c>
      <c r="B15" s="7">
        <v>3</v>
      </c>
      <c r="C15" s="7">
        <v>3</v>
      </c>
      <c r="D15" s="7" t="str">
        <f t="shared" si="1"/>
        <v>0x33</v>
      </c>
      <c r="E15" s="7" t="s">
        <v>344</v>
      </c>
      <c r="F15" s="7">
        <f t="shared" si="2"/>
        <v>2</v>
      </c>
      <c r="G15" s="7">
        <f t="shared" si="3"/>
        <v>2</v>
      </c>
      <c r="H15" s="7" t="s">
        <v>390</v>
      </c>
      <c r="I15" t="s">
        <v>440</v>
      </c>
      <c r="J15" t="s">
        <v>454</v>
      </c>
      <c r="K15" s="7" t="s">
        <v>455</v>
      </c>
      <c r="L15" t="s">
        <v>452</v>
      </c>
      <c r="M15" s="7" t="s">
        <v>485</v>
      </c>
      <c r="N15" s="7" t="s">
        <v>452</v>
      </c>
      <c r="O15" s="7" t="s">
        <v>485</v>
      </c>
      <c r="P15" s="7" t="s">
        <v>452</v>
      </c>
      <c r="Q15" t="s">
        <v>488</v>
      </c>
      <c r="R15" s="7"/>
    </row>
    <row r="16" spans="1:26" x14ac:dyDescent="0.25">
      <c r="A16" s="7" t="str">
        <f t="shared" si="0"/>
        <v>0x34: ["Flying Fortress", 2, 3, BonusJump(), 0x02, 0xd8, 0xda, 0xdc, 0xdf, 0xd7, 0xdd],</v>
      </c>
      <c r="B16" s="7">
        <v>3</v>
      </c>
      <c r="C16" s="7">
        <v>4</v>
      </c>
      <c r="D16" s="7" t="str">
        <f t="shared" si="1"/>
        <v>0x34</v>
      </c>
      <c r="E16" s="7" t="s">
        <v>345</v>
      </c>
      <c r="F16" s="7">
        <f t="shared" si="2"/>
        <v>2</v>
      </c>
      <c r="G16" s="7">
        <f t="shared" si="3"/>
        <v>3</v>
      </c>
      <c r="H16" s="7" t="s">
        <v>390</v>
      </c>
      <c r="I16" t="s">
        <v>440</v>
      </c>
      <c r="J16" t="s">
        <v>456</v>
      </c>
      <c r="K16" t="s">
        <v>491</v>
      </c>
      <c r="L16" t="s">
        <v>494</v>
      </c>
      <c r="M16" t="s">
        <v>496</v>
      </c>
      <c r="N16" t="s">
        <v>497</v>
      </c>
      <c r="O16" t="s">
        <v>500</v>
      </c>
    </row>
    <row r="17" spans="1:26" x14ac:dyDescent="0.25">
      <c r="A17" s="7" t="str">
        <f t="shared" si="0"/>
        <v>0x35: ["Moonlight Memories", 2, 4, BonusJump(), 0x02, 0xc3, 0xde, 0xe0, 0xd1, 0xe0, 0xe8, 0xe1, 0xe2],</v>
      </c>
      <c r="B17" s="7">
        <v>3</v>
      </c>
      <c r="C17" s="7">
        <v>5</v>
      </c>
      <c r="D17" s="7" t="str">
        <f t="shared" si="1"/>
        <v>0x35</v>
      </c>
      <c r="E17" s="7" t="s">
        <v>346</v>
      </c>
      <c r="F17" s="7">
        <f t="shared" si="2"/>
        <v>2</v>
      </c>
      <c r="G17" s="7">
        <f t="shared" si="3"/>
        <v>4</v>
      </c>
      <c r="H17" s="7" t="s">
        <v>390</v>
      </c>
      <c r="I17" t="s">
        <v>440</v>
      </c>
      <c r="J17" t="s">
        <v>457</v>
      </c>
      <c r="K17" t="s">
        <v>503</v>
      </c>
      <c r="L17" t="s">
        <v>483</v>
      </c>
      <c r="M17" t="s">
        <v>484</v>
      </c>
      <c r="N17" s="7" t="s">
        <v>483</v>
      </c>
      <c r="O17" t="s">
        <v>505</v>
      </c>
      <c r="P17" t="s">
        <v>506</v>
      </c>
      <c r="Q17" s="7" t="s">
        <v>507</v>
      </c>
    </row>
    <row r="18" spans="1:26" x14ac:dyDescent="0.25">
      <c r="A18" s="7" t="str">
        <f t="shared" si="0"/>
        <v>0x36: ["Titanic Tower", 2, 5, BonusJump(), 0x02, 0xe3, 0xe4, 0xe5, 0xe6, 0xe7, 0xe9, 0xea, 0xeb],</v>
      </c>
      <c r="B18" s="7">
        <v>3</v>
      </c>
      <c r="C18" s="7">
        <v>6</v>
      </c>
      <c r="D18" s="7" t="str">
        <f t="shared" si="1"/>
        <v>0x36</v>
      </c>
      <c r="E18" s="7" t="s">
        <v>347</v>
      </c>
      <c r="F18" s="7">
        <f t="shared" si="2"/>
        <v>2</v>
      </c>
      <c r="G18" s="7">
        <f t="shared" si="3"/>
        <v>5</v>
      </c>
      <c r="H18" s="7" t="s">
        <v>390</v>
      </c>
      <c r="I18" t="s">
        <v>440</v>
      </c>
      <c r="J18" t="s">
        <v>458</v>
      </c>
      <c r="K18" s="7" t="s">
        <v>508</v>
      </c>
      <c r="L18" s="7" t="s">
        <v>489</v>
      </c>
      <c r="M18" s="7" t="s">
        <v>486</v>
      </c>
      <c r="N18" s="7" t="s">
        <v>498</v>
      </c>
      <c r="O18" s="7" t="s">
        <v>509</v>
      </c>
      <c r="P18" t="s">
        <v>492</v>
      </c>
      <c r="Q18" t="s">
        <v>512</v>
      </c>
    </row>
    <row r="19" spans="1:26" x14ac:dyDescent="0.25">
      <c r="A19" s="7" t="str">
        <f t="shared" si="0"/>
        <v>0x38: ["Mr Bright &amp; Mr Shine", 2, 7, BossBeat(0x0a), 0x02, 0x0a],</v>
      </c>
      <c r="B19" s="7">
        <v>3</v>
      </c>
      <c r="C19" s="7">
        <v>8</v>
      </c>
      <c r="D19" s="7" t="str">
        <f t="shared" si="1"/>
        <v>0x38</v>
      </c>
      <c r="E19" t="s">
        <v>329</v>
      </c>
      <c r="F19" s="7">
        <f t="shared" si="2"/>
        <v>2</v>
      </c>
      <c r="G19" s="7">
        <f t="shared" si="3"/>
        <v>7</v>
      </c>
      <c r="H19" s="7" t="str">
        <f>"BossBeat("&amp;J19&amp;")"</f>
        <v>BossBeat(0x0a)</v>
      </c>
      <c r="I19" t="s">
        <v>440</v>
      </c>
      <c r="J19" t="s">
        <v>459</v>
      </c>
    </row>
    <row r="20" spans="1:26" x14ac:dyDescent="0.25">
      <c r="A20" s="7" t="str">
        <f t="shared" si="0"/>
        <v>0x41: ["Tombstone Tunnel", 3, 0, BonusJump(), 0x03, 0xec, 0xed, 0xef, 0xf1, 0xee, 0xf0],</v>
      </c>
      <c r="B20" s="7">
        <v>4</v>
      </c>
      <c r="C20" s="7">
        <v>1</v>
      </c>
      <c r="D20" s="7" t="str">
        <f t="shared" si="1"/>
        <v>0x41</v>
      </c>
      <c r="E20" s="7" t="s">
        <v>348</v>
      </c>
      <c r="F20" s="7">
        <f t="shared" si="2"/>
        <v>3</v>
      </c>
      <c r="G20" s="7">
        <f t="shared" si="3"/>
        <v>0</v>
      </c>
      <c r="H20" s="7" t="s">
        <v>390</v>
      </c>
      <c r="I20" t="s">
        <v>460</v>
      </c>
      <c r="J20" t="s">
        <v>461</v>
      </c>
      <c r="K20" t="s">
        <v>520</v>
      </c>
      <c r="L20" t="s">
        <v>523</v>
      </c>
      <c r="M20" t="s">
        <v>528</v>
      </c>
      <c r="N20" t="s">
        <v>501</v>
      </c>
      <c r="O20" t="s">
        <v>462</v>
      </c>
    </row>
    <row r="21" spans="1:26" x14ac:dyDescent="0.25">
      <c r="A21" s="7" t="str">
        <f t="shared" si="0"/>
        <v>0x42: ["Silent Streets", 3, 1, BonusJump(), 0x03, 0xf0, 0xf2, 0xf5, 0xf2, 0xee, 0xf6],</v>
      </c>
      <c r="B21" s="7">
        <v>4</v>
      </c>
      <c r="C21" s="7">
        <v>2</v>
      </c>
      <c r="D21" s="7" t="str">
        <f t="shared" si="1"/>
        <v>0x42</v>
      </c>
      <c r="E21" s="7" t="s">
        <v>349</v>
      </c>
      <c r="F21" s="7">
        <f t="shared" si="2"/>
        <v>3</v>
      </c>
      <c r="G21" s="7">
        <f t="shared" si="3"/>
        <v>1</v>
      </c>
      <c r="H21" s="7" t="s">
        <v>390</v>
      </c>
      <c r="I21" t="s">
        <v>460</v>
      </c>
      <c r="J21" t="s">
        <v>462</v>
      </c>
      <c r="K21" t="s">
        <v>529</v>
      </c>
      <c r="L21" t="s">
        <v>490</v>
      </c>
      <c r="M21" t="s">
        <v>529</v>
      </c>
      <c r="N21" s="7" t="s">
        <v>501</v>
      </c>
      <c r="O21" t="s">
        <v>487</v>
      </c>
    </row>
    <row r="22" spans="1:26" x14ac:dyDescent="0.25">
      <c r="A22" s="7" t="str">
        <f t="shared" si="0"/>
        <v>0x43: ["Creepy Circus", 3, 2, BonusJump(), 0x03, 0xf3, 0xf7, 0xf8, 0xf9, 0xfb, 0xfa, 0xfb, 0xfa, 0xfb, 0xfe, 0xfc, 0xfa, 0xfc, 0xfa, 0xfc, 0xff, 0x100],</v>
      </c>
      <c r="B22" s="7">
        <v>4</v>
      </c>
      <c r="C22" s="7">
        <v>3</v>
      </c>
      <c r="D22" s="7" t="str">
        <f t="shared" si="1"/>
        <v>0x43</v>
      </c>
      <c r="E22" s="7" t="s">
        <v>350</v>
      </c>
      <c r="F22" s="7">
        <f t="shared" si="2"/>
        <v>3</v>
      </c>
      <c r="G22" s="7">
        <f t="shared" si="3"/>
        <v>2</v>
      </c>
      <c r="H22" s="7" t="s">
        <v>390</v>
      </c>
      <c r="I22" t="s">
        <v>460</v>
      </c>
      <c r="J22" t="s">
        <v>463</v>
      </c>
      <c r="K22" t="s">
        <v>499</v>
      </c>
      <c r="L22" s="7" t="s">
        <v>530</v>
      </c>
      <c r="M22" s="7" t="s">
        <v>510</v>
      </c>
      <c r="N22" t="s">
        <v>513</v>
      </c>
      <c r="O22" t="s">
        <v>493</v>
      </c>
      <c r="P22" s="7" t="s">
        <v>513</v>
      </c>
      <c r="Q22" s="7" t="s">
        <v>493</v>
      </c>
      <c r="R22" s="7" t="s">
        <v>513</v>
      </c>
      <c r="S22" s="7" t="s">
        <v>511</v>
      </c>
      <c r="T22" s="7" t="s">
        <v>495</v>
      </c>
      <c r="U22" s="7" t="s">
        <v>493</v>
      </c>
      <c r="V22" s="7" t="s">
        <v>495</v>
      </c>
      <c r="W22" s="7" t="s">
        <v>493</v>
      </c>
      <c r="X22" s="7" t="s">
        <v>495</v>
      </c>
      <c r="Y22" t="s">
        <v>502</v>
      </c>
      <c r="Z22" t="s">
        <v>648</v>
      </c>
    </row>
    <row r="23" spans="1:26" x14ac:dyDescent="0.25">
      <c r="A23" s="7" t="str">
        <f t="shared" si="0"/>
        <v>0x44: ["Stardust Subway", 3, 3, BonusJump(), 0x03, 0x101, 0x103, 0x102, 0x103, 0x107, 0x106],</v>
      </c>
      <c r="B23" s="7">
        <v>4</v>
      </c>
      <c r="C23" s="7">
        <v>4</v>
      </c>
      <c r="D23" s="7" t="str">
        <f t="shared" si="1"/>
        <v>0x44</v>
      </c>
      <c r="E23" s="7" t="s">
        <v>351</v>
      </c>
      <c r="F23" s="7">
        <f t="shared" si="2"/>
        <v>3</v>
      </c>
      <c r="G23" s="7">
        <f t="shared" si="3"/>
        <v>3</v>
      </c>
      <c r="H23" s="7" t="s">
        <v>390</v>
      </c>
      <c r="I23" t="s">
        <v>460</v>
      </c>
      <c r="J23" t="s">
        <v>599</v>
      </c>
      <c r="K23" t="s">
        <v>600</v>
      </c>
      <c r="L23" s="7" t="s">
        <v>601</v>
      </c>
      <c r="M23" s="7" t="s">
        <v>600</v>
      </c>
      <c r="N23" t="s">
        <v>602</v>
      </c>
      <c r="O23" t="s">
        <v>603</v>
      </c>
    </row>
    <row r="24" spans="1:26" x14ac:dyDescent="0.25">
      <c r="A24" s="7" t="str">
        <f t="shared" si="0"/>
        <v>0x45: ["Macabre Museums", 3, 4, BonusJump(), 0x03, 0x104, 0x105, 0x110, 0x109, 0x108, 0x10a],</v>
      </c>
      <c r="B24" s="7">
        <v>4</v>
      </c>
      <c r="C24" s="7">
        <v>5</v>
      </c>
      <c r="D24" s="7" t="str">
        <f t="shared" si="1"/>
        <v>0x45</v>
      </c>
      <c r="E24" s="7" t="s">
        <v>352</v>
      </c>
      <c r="F24" s="7">
        <f t="shared" si="2"/>
        <v>3</v>
      </c>
      <c r="G24" s="7">
        <f t="shared" si="3"/>
        <v>4</v>
      </c>
      <c r="H24" s="7" t="s">
        <v>390</v>
      </c>
      <c r="I24" t="s">
        <v>460</v>
      </c>
      <c r="J24" t="s">
        <v>604</v>
      </c>
      <c r="K24" t="s">
        <v>605</v>
      </c>
      <c r="L24" t="s">
        <v>606</v>
      </c>
      <c r="M24" t="s">
        <v>607</v>
      </c>
      <c r="N24" t="s">
        <v>608</v>
      </c>
      <c r="O24" t="s">
        <v>609</v>
      </c>
    </row>
    <row r="25" spans="1:26" x14ac:dyDescent="0.25">
      <c r="A25" s="7" t="str">
        <f t="shared" si="0"/>
        <v>0x46: ["Fun Factory", 3, 5, BonusJump(), 0x03, 0x104, 0x10b, 0x10c, 0x10f, 0x10d, 0x10f, 0x10b, 0x110],</v>
      </c>
      <c r="B25" s="7">
        <v>4</v>
      </c>
      <c r="C25" s="7">
        <v>6</v>
      </c>
      <c r="D25" s="7" t="str">
        <f t="shared" si="1"/>
        <v>0x46</v>
      </c>
      <c r="E25" s="7" t="s">
        <v>353</v>
      </c>
      <c r="F25" s="7">
        <f t="shared" si="2"/>
        <v>3</v>
      </c>
      <c r="G25" s="7">
        <f t="shared" si="3"/>
        <v>5</v>
      </c>
      <c r="H25" s="7" t="s">
        <v>390</v>
      </c>
      <c r="I25" t="s">
        <v>460</v>
      </c>
      <c r="J25" t="s">
        <v>604</v>
      </c>
      <c r="K25" t="s">
        <v>610</v>
      </c>
      <c r="L25" t="s">
        <v>611</v>
      </c>
      <c r="M25" t="s">
        <v>612</v>
      </c>
      <c r="N25" t="s">
        <v>613</v>
      </c>
      <c r="O25" t="s">
        <v>612</v>
      </c>
      <c r="P25" t="s">
        <v>610</v>
      </c>
      <c r="Q25" t="s">
        <v>606</v>
      </c>
    </row>
    <row r="26" spans="1:26" x14ac:dyDescent="0.25">
      <c r="A26" s="7" t="str">
        <f t="shared" si="0"/>
        <v>0x48: ["Kracko's Revenge", 3, 7, BossBeat(0x0b), 0x03, 0x0b],</v>
      </c>
      <c r="B26" s="7">
        <v>4</v>
      </c>
      <c r="C26" s="7">
        <v>8</v>
      </c>
      <c r="D26" s="7" t="str">
        <f t="shared" si="1"/>
        <v>0x48</v>
      </c>
      <c r="E26" s="7" t="s">
        <v>354</v>
      </c>
      <c r="F26" s="7">
        <f t="shared" si="2"/>
        <v>3</v>
      </c>
      <c r="G26" s="7">
        <f t="shared" si="3"/>
        <v>7</v>
      </c>
      <c r="H26" s="7" t="str">
        <f>"BossBeat("&amp;J26&amp;")"</f>
        <v>BossBeat(0x0b)</v>
      </c>
      <c r="I26" t="s">
        <v>460</v>
      </c>
      <c r="J26" t="s">
        <v>464</v>
      </c>
    </row>
    <row r="27" spans="1:26" x14ac:dyDescent="0.25">
      <c r="A27" s="7" t="str">
        <f t="shared" si="0"/>
        <v>0x51: ["Shivery Sierra", 4, 0, BonusJump(), 0x04, 0x111, 0x113, 0x114, 0x112, 0x115],</v>
      </c>
      <c r="B27" s="7">
        <v>5</v>
      </c>
      <c r="C27" s="7">
        <v>1</v>
      </c>
      <c r="D27" s="7" t="str">
        <f t="shared" si="1"/>
        <v>0x51</v>
      </c>
      <c r="E27" s="7" t="s">
        <v>355</v>
      </c>
      <c r="F27" s="7">
        <f t="shared" si="2"/>
        <v>4</v>
      </c>
      <c r="G27" s="7">
        <f t="shared" si="3"/>
        <v>0</v>
      </c>
      <c r="H27" s="7" t="s">
        <v>390</v>
      </c>
      <c r="I27" t="s">
        <v>465</v>
      </c>
      <c r="J27" t="s">
        <v>614</v>
      </c>
      <c r="K27" t="s">
        <v>615</v>
      </c>
      <c r="L27" t="s">
        <v>616</v>
      </c>
      <c r="M27" t="s">
        <v>617</v>
      </c>
      <c r="N27" t="s">
        <v>618</v>
      </c>
    </row>
    <row r="28" spans="1:26" x14ac:dyDescent="0.25">
      <c r="A28" s="7" t="str">
        <f t="shared" si="0"/>
        <v>0x52: ["Magma Mountain", 4, 1, BonusJump(), 0x04, 0x116, 0x117, 0x11c, 0x118, 0x117, 0x118, 0x11b, 0x11a],</v>
      </c>
      <c r="B28" s="7">
        <v>5</v>
      </c>
      <c r="C28" s="7">
        <v>2</v>
      </c>
      <c r="D28" s="7" t="str">
        <f t="shared" si="1"/>
        <v>0x52</v>
      </c>
      <c r="E28" s="7" t="s">
        <v>356</v>
      </c>
      <c r="F28" s="7">
        <f t="shared" si="2"/>
        <v>4</v>
      </c>
      <c r="G28" s="7">
        <f t="shared" si="3"/>
        <v>1</v>
      </c>
      <c r="H28" s="7" t="s">
        <v>390</v>
      </c>
      <c r="I28" t="s">
        <v>465</v>
      </c>
      <c r="J28" t="s">
        <v>619</v>
      </c>
      <c r="K28" s="7" t="s">
        <v>620</v>
      </c>
      <c r="L28" t="s">
        <v>621</v>
      </c>
      <c r="M28" t="s">
        <v>622</v>
      </c>
      <c r="N28" s="7" t="s">
        <v>620</v>
      </c>
      <c r="O28" s="7" t="s">
        <v>622</v>
      </c>
      <c r="P28" t="s">
        <v>623</v>
      </c>
      <c r="Q28" t="s">
        <v>624</v>
      </c>
    </row>
    <row r="29" spans="1:26" x14ac:dyDescent="0.25">
      <c r="A29" s="7" t="str">
        <f t="shared" si="0"/>
        <v>0x53: ["Woodland Warriors", 4, 2, BonusJump(), 0x04, 0x11d, 0x11e, 0x11f, 0x11e, 0x120, 0x122],</v>
      </c>
      <c r="B29" s="7">
        <v>5</v>
      </c>
      <c r="C29" s="7">
        <v>3</v>
      </c>
      <c r="D29" s="7" t="str">
        <f t="shared" si="1"/>
        <v>0x53</v>
      </c>
      <c r="E29" s="7" t="s">
        <v>357</v>
      </c>
      <c r="F29" s="7">
        <f t="shared" si="2"/>
        <v>4</v>
      </c>
      <c r="G29" s="7">
        <f t="shared" si="3"/>
        <v>2</v>
      </c>
      <c r="H29" s="7" t="s">
        <v>390</v>
      </c>
      <c r="I29" t="s">
        <v>465</v>
      </c>
      <c r="J29" t="s">
        <v>625</v>
      </c>
      <c r="K29" t="s">
        <v>626</v>
      </c>
      <c r="L29" t="s">
        <v>627</v>
      </c>
      <c r="M29" s="7" t="s">
        <v>626</v>
      </c>
      <c r="N29" t="s">
        <v>628</v>
      </c>
      <c r="O29" t="s">
        <v>629</v>
      </c>
    </row>
    <row r="30" spans="1:26" x14ac:dyDescent="0.25">
      <c r="A30" s="7" t="str">
        <f t="shared" si="0"/>
        <v>0x54: ["Tempest Traintracks", 4, 3, BonusJump(), 0x04, 0x123, 0x125, 0x126, 0x127, 0x128, 0x124, 0x129],</v>
      </c>
      <c r="B30" s="7">
        <v>5</v>
      </c>
      <c r="C30" s="7">
        <v>4</v>
      </c>
      <c r="D30" s="7" t="str">
        <f t="shared" si="1"/>
        <v>0x54</v>
      </c>
      <c r="E30" s="7" t="s">
        <v>358</v>
      </c>
      <c r="F30" s="7">
        <f t="shared" si="2"/>
        <v>4</v>
      </c>
      <c r="G30" s="7">
        <f t="shared" si="3"/>
        <v>3</v>
      </c>
      <c r="H30" s="7" t="s">
        <v>390</v>
      </c>
      <c r="I30" t="s">
        <v>465</v>
      </c>
      <c r="J30" t="s">
        <v>630</v>
      </c>
      <c r="K30" t="s">
        <v>631</v>
      </c>
      <c r="L30" s="7" t="s">
        <v>632</v>
      </c>
      <c r="M30" s="7" t="s">
        <v>633</v>
      </c>
      <c r="N30" s="7" t="s">
        <v>634</v>
      </c>
      <c r="O30" t="s">
        <v>635</v>
      </c>
      <c r="P30" t="s">
        <v>636</v>
      </c>
    </row>
    <row r="31" spans="1:26" x14ac:dyDescent="0.25">
      <c r="A31" s="7" t="str">
        <f t="shared" si="0"/>
        <v>0x55: ["Desolate Division", 4, 4, BonusJump(), 0x04, 0x12a, 0x130, 0x12f, 0x12e, 0x12d, 0x12e],</v>
      </c>
      <c r="B31" s="7">
        <v>5</v>
      </c>
      <c r="C31" s="7">
        <v>5</v>
      </c>
      <c r="D31" s="7" t="str">
        <f t="shared" si="1"/>
        <v>0x55</v>
      </c>
      <c r="E31" s="7" t="s">
        <v>359</v>
      </c>
      <c r="F31" s="7">
        <f t="shared" si="2"/>
        <v>4</v>
      </c>
      <c r="G31" s="7">
        <f t="shared" si="3"/>
        <v>4</v>
      </c>
      <c r="H31" s="7" t="s">
        <v>390</v>
      </c>
      <c r="I31" t="s">
        <v>465</v>
      </c>
      <c r="J31" t="s">
        <v>637</v>
      </c>
      <c r="K31" t="s">
        <v>638</v>
      </c>
      <c r="L31" t="s">
        <v>639</v>
      </c>
      <c r="M31" t="s">
        <v>640</v>
      </c>
      <c r="N31" t="s">
        <v>641</v>
      </c>
      <c r="O31" t="s">
        <v>640</v>
      </c>
    </row>
    <row r="32" spans="1:26" x14ac:dyDescent="0.25">
      <c r="A32" s="7" t="str">
        <f t="shared" si="0"/>
        <v>0x56: ["Fear Factory", 4, 5, BonusJump(), 0x04, 0x12b, 0x131, 0x132, 0x134, 0x131, 0x133, 0x136],</v>
      </c>
      <c r="B32" s="7">
        <v>5</v>
      </c>
      <c r="C32" s="7">
        <v>6</v>
      </c>
      <c r="D32" s="7" t="str">
        <f t="shared" si="1"/>
        <v>0x56</v>
      </c>
      <c r="E32" s="7" t="s">
        <v>360</v>
      </c>
      <c r="F32" s="7">
        <f t="shared" si="2"/>
        <v>4</v>
      </c>
      <c r="G32" s="7">
        <f t="shared" si="3"/>
        <v>5</v>
      </c>
      <c r="H32" s="7" t="s">
        <v>390</v>
      </c>
      <c r="I32" t="s">
        <v>465</v>
      </c>
      <c r="J32" t="s">
        <v>642</v>
      </c>
      <c r="K32" t="s">
        <v>643</v>
      </c>
      <c r="L32" t="s">
        <v>644</v>
      </c>
      <c r="M32" t="s">
        <v>645</v>
      </c>
      <c r="N32" t="s">
        <v>643</v>
      </c>
      <c r="O32" t="s">
        <v>646</v>
      </c>
      <c r="P32" t="s">
        <v>647</v>
      </c>
    </row>
    <row r="33" spans="1:22" x14ac:dyDescent="0.25">
      <c r="A33" s="7" t="str">
        <f t="shared" si="0"/>
        <v>0x58: ["Heavy Mole", 4, 7, BossBeat(0x0c), 0x04, 0x0c],</v>
      </c>
      <c r="B33" s="7">
        <v>5</v>
      </c>
      <c r="C33" s="7">
        <v>8</v>
      </c>
      <c r="D33" s="7" t="str">
        <f t="shared" si="1"/>
        <v>0x58</v>
      </c>
      <c r="E33" s="7" t="s">
        <v>330</v>
      </c>
      <c r="F33" s="7">
        <f t="shared" si="2"/>
        <v>4</v>
      </c>
      <c r="G33" s="7">
        <f t="shared" si="3"/>
        <v>7</v>
      </c>
      <c r="H33" s="7" t="str">
        <f>"BossBeat("&amp;J33&amp;")"</f>
        <v>BossBeat(0x0c)</v>
      </c>
      <c r="I33" t="s">
        <v>465</v>
      </c>
      <c r="J33" t="s">
        <v>466</v>
      </c>
    </row>
    <row r="34" spans="1:22" x14ac:dyDescent="0.25">
      <c r="A34" s="7" t="str">
        <f t="shared" si="0"/>
        <v>0x61: ["Haunted Harbor", 5, 0, BonusJump(), 0x05, 0x3d, 0x3e, 0x3f, 0x40],</v>
      </c>
      <c r="B34" s="7">
        <v>6</v>
      </c>
      <c r="C34" s="7">
        <v>1</v>
      </c>
      <c r="D34" s="7" t="str">
        <f t="shared" si="1"/>
        <v>0x61</v>
      </c>
      <c r="E34" s="7" t="s">
        <v>361</v>
      </c>
      <c r="F34" s="7">
        <f t="shared" si="2"/>
        <v>5</v>
      </c>
      <c r="G34" s="7">
        <f t="shared" si="3"/>
        <v>0</v>
      </c>
      <c r="H34" s="7" t="s">
        <v>390</v>
      </c>
      <c r="I34" t="s">
        <v>467</v>
      </c>
      <c r="J34" t="s">
        <v>468</v>
      </c>
      <c r="K34" t="s">
        <v>548</v>
      </c>
      <c r="L34" t="s">
        <v>524</v>
      </c>
      <c r="M34" t="s">
        <v>557</v>
      </c>
    </row>
    <row r="35" spans="1:22" x14ac:dyDescent="0.25">
      <c r="A35" s="7" t="str">
        <f t="shared" si="0"/>
        <v>0x62: ["Olympic Odyssey", 5, 1, BonusJump(), 0x05, 0x43, 0x44, 0x43, 0x45, 0x48, 0x47],</v>
      </c>
      <c r="B35" s="7">
        <v>6</v>
      </c>
      <c r="C35" s="7">
        <v>2</v>
      </c>
      <c r="D35" s="7" t="str">
        <f t="shared" si="1"/>
        <v>0x62</v>
      </c>
      <c r="E35" s="7" t="s">
        <v>362</v>
      </c>
      <c r="F35" s="7">
        <f t="shared" si="2"/>
        <v>5</v>
      </c>
      <c r="G35" s="7">
        <f t="shared" si="3"/>
        <v>1</v>
      </c>
      <c r="H35" s="7" t="s">
        <v>390</v>
      </c>
      <c r="I35" t="s">
        <v>467</v>
      </c>
      <c r="J35" t="s">
        <v>469</v>
      </c>
      <c r="K35" t="s">
        <v>558</v>
      </c>
      <c r="L35" t="s">
        <v>469</v>
      </c>
      <c r="M35" t="s">
        <v>540</v>
      </c>
      <c r="N35" t="s">
        <v>545</v>
      </c>
      <c r="O35" t="s">
        <v>561</v>
      </c>
    </row>
    <row r="36" spans="1:22" x14ac:dyDescent="0.25">
      <c r="A36" s="7" t="str">
        <f t="shared" si="0"/>
        <v>0x63: ["Sunken Shipwreck", 5, 2, BonusJump(), 0x05, 0x52, 0x51, 0x4a, 0x4c, 0x4e, 0x4f, 0x4d, 0x53],</v>
      </c>
      <c r="B36" s="7">
        <v>6</v>
      </c>
      <c r="C36" s="7">
        <v>3</v>
      </c>
      <c r="D36" s="7" t="str">
        <f t="shared" si="1"/>
        <v>0x63</v>
      </c>
      <c r="E36" s="7" t="s">
        <v>363</v>
      </c>
      <c r="F36" s="7">
        <f t="shared" si="2"/>
        <v>5</v>
      </c>
      <c r="G36" s="7">
        <f t="shared" si="3"/>
        <v>2</v>
      </c>
      <c r="H36" s="7" t="s">
        <v>390</v>
      </c>
      <c r="I36" t="s">
        <v>467</v>
      </c>
      <c r="J36" t="s">
        <v>470</v>
      </c>
      <c r="K36" t="s">
        <v>563</v>
      </c>
      <c r="L36" t="s">
        <v>565</v>
      </c>
      <c r="M36" t="s">
        <v>544</v>
      </c>
      <c r="N36" t="s">
        <v>566</v>
      </c>
      <c r="O36" t="s">
        <v>525</v>
      </c>
      <c r="P36" t="s">
        <v>521</v>
      </c>
      <c r="Q36" t="s">
        <v>539</v>
      </c>
    </row>
    <row r="37" spans="1:22" x14ac:dyDescent="0.25">
      <c r="A37" s="7" t="str">
        <f t="shared" si="0"/>
        <v>0x64: ["Eerie Ends", 5, 3, BonusJump(), 0x05, 0x5c, 0x5f, 0x5e, 0x5d, 0x5e],</v>
      </c>
      <c r="B37" s="7">
        <v>6</v>
      </c>
      <c r="C37" s="7">
        <v>4</v>
      </c>
      <c r="D37" s="7" t="str">
        <f t="shared" si="1"/>
        <v>0x64</v>
      </c>
      <c r="E37" s="7" t="s">
        <v>364</v>
      </c>
      <c r="F37" s="7">
        <f t="shared" si="2"/>
        <v>5</v>
      </c>
      <c r="G37" s="7">
        <f t="shared" si="3"/>
        <v>3</v>
      </c>
      <c r="H37" s="7" t="s">
        <v>390</v>
      </c>
      <c r="I37" t="s">
        <v>467</v>
      </c>
      <c r="J37" t="s">
        <v>471</v>
      </c>
      <c r="K37" t="s">
        <v>526</v>
      </c>
      <c r="L37" t="s">
        <v>547</v>
      </c>
      <c r="M37" t="s">
        <v>522</v>
      </c>
      <c r="N37" s="7" t="s">
        <v>547</v>
      </c>
    </row>
    <row r="38" spans="1:22" x14ac:dyDescent="0.25">
      <c r="A38" s="7" t="str">
        <f t="shared" si="0"/>
        <v>0x65: ["Thermal Temple", 5, 4, BonusJump(), 0x05, 0x61, 0x62, 0x65, 0x66, 0x67],</v>
      </c>
      <c r="B38" s="7">
        <v>6</v>
      </c>
      <c r="C38" s="7">
        <v>5</v>
      </c>
      <c r="D38" s="7" t="str">
        <f t="shared" si="1"/>
        <v>0x65</v>
      </c>
      <c r="E38" s="7" t="s">
        <v>365</v>
      </c>
      <c r="F38" s="7">
        <f t="shared" si="2"/>
        <v>5</v>
      </c>
      <c r="G38" s="7">
        <f t="shared" si="3"/>
        <v>4</v>
      </c>
      <c r="H38" s="7" t="s">
        <v>390</v>
      </c>
      <c r="I38" t="s">
        <v>467</v>
      </c>
      <c r="J38" t="s">
        <v>472</v>
      </c>
      <c r="K38" t="s">
        <v>542</v>
      </c>
      <c r="L38" t="s">
        <v>541</v>
      </c>
      <c r="M38" t="s">
        <v>543</v>
      </c>
      <c r="N38" t="s">
        <v>549</v>
      </c>
    </row>
    <row r="39" spans="1:22" x14ac:dyDescent="0.25">
      <c r="A39" s="7" t="str">
        <f t="shared" si="0"/>
        <v>0x66: ["Pirate Poltergeist", 5, 5, BonusJump(), 0x05, 0x56, 0x57, 0x58, 0x54, 0x56, 0x64, 0x6e],</v>
      </c>
      <c r="B39" s="7">
        <v>6</v>
      </c>
      <c r="C39" s="7">
        <v>6</v>
      </c>
      <c r="D39" s="7" t="str">
        <f t="shared" si="1"/>
        <v>0x66</v>
      </c>
      <c r="E39" s="7" t="s">
        <v>366</v>
      </c>
      <c r="F39" s="7">
        <f t="shared" si="2"/>
        <v>5</v>
      </c>
      <c r="G39" s="7">
        <f t="shared" si="3"/>
        <v>5</v>
      </c>
      <c r="H39" s="7" t="s">
        <v>390</v>
      </c>
      <c r="I39" t="s">
        <v>467</v>
      </c>
      <c r="J39" t="s">
        <v>473</v>
      </c>
      <c r="K39" t="s">
        <v>562</v>
      </c>
      <c r="L39" s="7" t="s">
        <v>546</v>
      </c>
      <c r="M39" t="s">
        <v>551</v>
      </c>
      <c r="N39" s="7" t="s">
        <v>473</v>
      </c>
      <c r="O39" t="s">
        <v>569</v>
      </c>
      <c r="P39" t="s">
        <v>571</v>
      </c>
    </row>
    <row r="40" spans="1:22" x14ac:dyDescent="0.25">
      <c r="A40" s="7" t="str">
        <f t="shared" si="0"/>
        <v>0x68: ["Tuxedo Meta Knight", 5, 7, BossBeat(0xd), 0x05, 0x6c],</v>
      </c>
      <c r="B40" s="7">
        <v>6</v>
      </c>
      <c r="C40" s="7">
        <v>8</v>
      </c>
      <c r="D40" s="7" t="str">
        <f t="shared" si="1"/>
        <v>0x68</v>
      </c>
      <c r="E40" s="7" t="s">
        <v>367</v>
      </c>
      <c r="F40" s="7">
        <f t="shared" si="2"/>
        <v>5</v>
      </c>
      <c r="G40" s="7">
        <f t="shared" si="3"/>
        <v>7</v>
      </c>
      <c r="H40" s="7" t="str">
        <f>"BossBeat(0xd)"</f>
        <v>BossBeat(0xd)</v>
      </c>
      <c r="I40" t="s">
        <v>467</v>
      </c>
      <c r="J40" t="s">
        <v>651</v>
      </c>
    </row>
    <row r="41" spans="1:22" x14ac:dyDescent="0.25">
      <c r="A41" s="7" t="str">
        <f t="shared" si="0"/>
        <v>0x71: ["Grassland Graveyard", 6, 0, BonusJump(), 0x06, 0x6d, 0x6e, 0x6f, 0x74],</v>
      </c>
      <c r="B41" s="7">
        <v>7</v>
      </c>
      <c r="C41" s="7">
        <v>1</v>
      </c>
      <c r="D41" s="7" t="str">
        <f t="shared" si="1"/>
        <v>0x71</v>
      </c>
      <c r="E41" s="7" t="s">
        <v>368</v>
      </c>
      <c r="F41" s="7">
        <f t="shared" si="2"/>
        <v>6</v>
      </c>
      <c r="G41" s="7">
        <f t="shared" si="3"/>
        <v>0</v>
      </c>
      <c r="H41" s="7" t="s">
        <v>390</v>
      </c>
      <c r="I41" t="s">
        <v>474</v>
      </c>
      <c r="J41" t="s">
        <v>475</v>
      </c>
      <c r="K41" t="s">
        <v>571</v>
      </c>
      <c r="L41" t="s">
        <v>527</v>
      </c>
      <c r="M41" t="s">
        <v>552</v>
      </c>
    </row>
    <row r="42" spans="1:22" x14ac:dyDescent="0.25">
      <c r="A42" s="7" t="str">
        <f t="shared" si="0"/>
        <v>0x72: ["Abstract Arts", 6, 1, BonusJump(), 0x06, 0xa7, 0x75, 0x79, 0x77, 0x79, 0x7a, 0x79],</v>
      </c>
      <c r="B42" s="7">
        <v>7</v>
      </c>
      <c r="C42" s="7">
        <v>2</v>
      </c>
      <c r="D42" s="7" t="str">
        <f t="shared" si="1"/>
        <v>0x72</v>
      </c>
      <c r="E42" s="7" t="s">
        <v>369</v>
      </c>
      <c r="F42" s="7">
        <f t="shared" si="2"/>
        <v>6</v>
      </c>
      <c r="G42" s="7">
        <f t="shared" si="3"/>
        <v>1</v>
      </c>
      <c r="H42" s="7" t="s">
        <v>390</v>
      </c>
      <c r="I42" t="s">
        <v>474</v>
      </c>
      <c r="J42" t="s">
        <v>476</v>
      </c>
      <c r="K42" t="s">
        <v>553</v>
      </c>
      <c r="L42" s="7" t="s">
        <v>555</v>
      </c>
      <c r="M42" s="7" t="s">
        <v>550</v>
      </c>
      <c r="N42" s="7" t="s">
        <v>555</v>
      </c>
      <c r="O42" t="s">
        <v>556</v>
      </c>
      <c r="P42" s="7" t="s">
        <v>555</v>
      </c>
    </row>
    <row r="43" spans="1:22" x14ac:dyDescent="0.25">
      <c r="A43" s="7" t="str">
        <f t="shared" si="0"/>
        <v>0x73: ["Sinister Shadows", 6, 2, BonusJump(), 0x06, 0x7f, 0x80, 0x81, 0x83, 0x80, 0x82, 0x80, 0x84],</v>
      </c>
      <c r="B43" s="7">
        <v>7</v>
      </c>
      <c r="C43" s="7">
        <v>3</v>
      </c>
      <c r="D43" s="7" t="str">
        <f t="shared" si="1"/>
        <v>0x73</v>
      </c>
      <c r="E43" s="7" t="s">
        <v>370</v>
      </c>
      <c r="F43" s="7">
        <f t="shared" si="2"/>
        <v>6</v>
      </c>
      <c r="G43" s="7">
        <f t="shared" si="3"/>
        <v>2</v>
      </c>
      <c r="H43" s="7" t="s">
        <v>390</v>
      </c>
      <c r="I43" t="s">
        <v>474</v>
      </c>
      <c r="J43" t="s">
        <v>477</v>
      </c>
      <c r="K43" t="s">
        <v>573</v>
      </c>
      <c r="L43" t="s">
        <v>574</v>
      </c>
      <c r="M43" t="s">
        <v>575</v>
      </c>
      <c r="N43" s="7" t="s">
        <v>573</v>
      </c>
      <c r="O43" t="s">
        <v>568</v>
      </c>
      <c r="P43" t="s">
        <v>573</v>
      </c>
      <c r="Q43" t="s">
        <v>572</v>
      </c>
    </row>
    <row r="44" spans="1:22" x14ac:dyDescent="0.25">
      <c r="A44" s="7" t="str">
        <f t="shared" si="0"/>
        <v>0x74: ["Cosmic Callbacks", 6, 3, BonusJump(), 0x06, 0x73, 0x90, 0x91, 0x92, 0x93, 0x8d, 0x94, 0x95, 0x96, 0x97, 0x98, 0x99, 0x72],</v>
      </c>
      <c r="B44" s="7">
        <v>7</v>
      </c>
      <c r="C44" s="7">
        <v>4</v>
      </c>
      <c r="D44" s="7" t="str">
        <f t="shared" si="1"/>
        <v>0x74</v>
      </c>
      <c r="E44" s="7" t="s">
        <v>578</v>
      </c>
      <c r="F44" s="7">
        <f t="shared" si="2"/>
        <v>6</v>
      </c>
      <c r="G44" s="7">
        <f t="shared" si="3"/>
        <v>3</v>
      </c>
      <c r="H44" s="7" t="s">
        <v>390</v>
      </c>
      <c r="I44" t="s">
        <v>474</v>
      </c>
      <c r="J44" t="s">
        <v>478</v>
      </c>
      <c r="K44" t="s">
        <v>576</v>
      </c>
      <c r="L44" t="s">
        <v>577</v>
      </c>
      <c r="M44" s="7" t="s">
        <v>579</v>
      </c>
      <c r="N44" s="7" t="s">
        <v>580</v>
      </c>
      <c r="O44" t="s">
        <v>582</v>
      </c>
      <c r="P44" t="s">
        <v>583</v>
      </c>
      <c r="Q44" s="7" t="s">
        <v>581</v>
      </c>
      <c r="R44" s="7" t="s">
        <v>584</v>
      </c>
      <c r="S44" s="7" t="s">
        <v>585</v>
      </c>
      <c r="T44" s="7" t="s">
        <v>586</v>
      </c>
      <c r="U44" s="7" t="s">
        <v>587</v>
      </c>
      <c r="V44" t="s">
        <v>567</v>
      </c>
    </row>
    <row r="45" spans="1:22" x14ac:dyDescent="0.25">
      <c r="A45" s="7" t="str">
        <f t="shared" si="0"/>
        <v>0x75: ["Enchanted Express", 6, 4, BonusJump(), 0x06, 0x73, 0x76, 0xa3, 0xa5, 0xa4, 0xa6, 0xa8],</v>
      </c>
      <c r="B45" s="7">
        <v>7</v>
      </c>
      <c r="C45" s="7">
        <v>5</v>
      </c>
      <c r="D45" s="7" t="str">
        <f t="shared" si="1"/>
        <v>0x75</v>
      </c>
      <c r="E45" s="7" t="s">
        <v>371</v>
      </c>
      <c r="F45" s="7">
        <f t="shared" si="2"/>
        <v>6</v>
      </c>
      <c r="G45" s="7">
        <f t="shared" si="3"/>
        <v>4</v>
      </c>
      <c r="H45" s="7" t="s">
        <v>390</v>
      </c>
      <c r="I45" t="s">
        <v>474</v>
      </c>
      <c r="J45" t="s">
        <v>478</v>
      </c>
      <c r="K45" t="s">
        <v>554</v>
      </c>
      <c r="L45" t="s">
        <v>589</v>
      </c>
      <c r="M45" t="s">
        <v>588</v>
      </c>
      <c r="N45" s="7" t="s">
        <v>570</v>
      </c>
      <c r="O45" s="7" t="s">
        <v>559</v>
      </c>
      <c r="P45" s="7" t="s">
        <v>560</v>
      </c>
    </row>
    <row r="46" spans="1:22" x14ac:dyDescent="0.25">
      <c r="A46" s="7" t="str">
        <f t="shared" si="0"/>
        <v>0x76: ["Rainbow Islands", 6, 5, BonusJump(), 0x06, 0x7e, 0x9a, 0x9b, 0x9c, 0x9d, 0x9e, 0x9f, 0xa0, 0xa1],</v>
      </c>
      <c r="B46" s="7">
        <v>7</v>
      </c>
      <c r="C46" s="7">
        <v>6</v>
      </c>
      <c r="D46" s="7" t="str">
        <f t="shared" si="1"/>
        <v>0x76</v>
      </c>
      <c r="E46" s="7" t="s">
        <v>372</v>
      </c>
      <c r="F46" s="7">
        <f t="shared" si="2"/>
        <v>6</v>
      </c>
      <c r="G46" s="7">
        <f t="shared" si="3"/>
        <v>5</v>
      </c>
      <c r="H46" s="7" t="s">
        <v>390</v>
      </c>
      <c r="I46" t="s">
        <v>474</v>
      </c>
      <c r="J46" t="s">
        <v>479</v>
      </c>
      <c r="K46" t="s">
        <v>590</v>
      </c>
      <c r="L46" t="s">
        <v>591</v>
      </c>
      <c r="M46" t="s">
        <v>592</v>
      </c>
      <c r="N46" t="s">
        <v>593</v>
      </c>
      <c r="O46" t="s">
        <v>594</v>
      </c>
      <c r="P46" t="s">
        <v>595</v>
      </c>
      <c r="Q46" t="s">
        <v>504</v>
      </c>
      <c r="R46" t="s">
        <v>564</v>
      </c>
    </row>
    <row r="47" spans="1:22" x14ac:dyDescent="0.25">
      <c r="A47" s="7" t="str">
        <f t="shared" si="0"/>
        <v>0x78: ["Concerto Dedede", 6, 7, BossBeat(0x0e), 0x06, 0x14, 0xe],</v>
      </c>
      <c r="B47" s="7">
        <v>7</v>
      </c>
      <c r="C47" s="7">
        <v>8</v>
      </c>
      <c r="D47" s="7" t="str">
        <f t="shared" si="1"/>
        <v>0x78</v>
      </c>
      <c r="E47" s="7" t="s">
        <v>373</v>
      </c>
      <c r="F47" s="7">
        <f t="shared" si="2"/>
        <v>6</v>
      </c>
      <c r="G47" s="7">
        <f t="shared" si="3"/>
        <v>7</v>
      </c>
      <c r="H47" s="7" t="str">
        <f>"BossBeat(0x0e)"</f>
        <v>BossBeat(0x0e)</v>
      </c>
      <c r="I47" t="s">
        <v>474</v>
      </c>
      <c r="J47" t="s">
        <v>480</v>
      </c>
      <c r="K47" t="s">
        <v>388</v>
      </c>
    </row>
    <row r="48" spans="1:22" x14ac:dyDescent="0.25">
      <c r="A48" s="7" t="str">
        <f t="shared" si="0"/>
        <v>0x88: ["Nightmare Angel", 7, 7, BossBeat(0x0f), 0x0e, 0x0f],</v>
      </c>
      <c r="B48" s="7">
        <v>8</v>
      </c>
      <c r="C48" s="7">
        <v>8</v>
      </c>
      <c r="D48" s="7" t="str">
        <f t="shared" si="1"/>
        <v>0x88</v>
      </c>
      <c r="E48" t="s">
        <v>331</v>
      </c>
      <c r="F48" s="7">
        <f t="shared" si="2"/>
        <v>7</v>
      </c>
      <c r="G48" s="7">
        <f t="shared" si="3"/>
        <v>7</v>
      </c>
      <c r="H48" s="7" t="str">
        <f>"BossBeat("&amp;J48&amp;")"</f>
        <v>BossBeat(0x0f)</v>
      </c>
      <c r="I48" t="s">
        <v>392</v>
      </c>
      <c r="J48" t="s">
        <v>481</v>
      </c>
    </row>
    <row r="49" spans="1:10" x14ac:dyDescent="0.25">
      <c r="A49" s="7" t="str">
        <f t="shared" si="0"/>
        <v>0x89: ["Nightmare Reaper", 7, 7, BossBeat(0x10), 0x00, 0x10],</v>
      </c>
      <c r="B49" s="7">
        <v>8</v>
      </c>
      <c r="C49" s="7">
        <v>9</v>
      </c>
      <c r="D49" s="7" t="str">
        <f>"0x"&amp;B49&amp;C49</f>
        <v>0x89</v>
      </c>
      <c r="E49" t="s">
        <v>332</v>
      </c>
      <c r="F49" s="7">
        <f t="shared" si="2"/>
        <v>7</v>
      </c>
      <c r="G49" s="7">
        <v>7</v>
      </c>
      <c r="H49" s="7" t="str">
        <f>"BossBeat("&amp;J49&amp;")"</f>
        <v>BossBeat(0x10)</v>
      </c>
      <c r="I49" t="s">
        <v>391</v>
      </c>
      <c r="J49" t="s">
        <v>482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3"/>
  <sheetViews>
    <sheetView zoomScale="70" zoomScaleNormal="70" workbookViewId="0">
      <pane ySplit="1" topLeftCell="A20" activePane="bottomLeft" state="frozen"/>
      <selection pane="bottomLeft" activeCell="F83" sqref="F83"/>
    </sheetView>
  </sheetViews>
  <sheetFormatPr defaultRowHeight="15" x14ac:dyDescent="0.25"/>
  <cols>
    <col min="1" max="1" width="5.85546875" style="7" bestFit="1" customWidth="1"/>
    <col min="2" max="2" width="36.7109375" bestFit="1" customWidth="1"/>
    <col min="3" max="3" width="134" bestFit="1" customWidth="1"/>
    <col min="4" max="4" width="11.7109375" style="7" customWidth="1"/>
    <col min="5" max="9" width="11.7109375" customWidth="1"/>
  </cols>
  <sheetData>
    <row r="1" spans="1:9" x14ac:dyDescent="0.25">
      <c r="A1" s="7" t="s">
        <v>30</v>
      </c>
      <c r="B1" t="s">
        <v>1</v>
      </c>
      <c r="C1" t="s">
        <v>2</v>
      </c>
      <c r="D1" s="7" t="s">
        <v>25</v>
      </c>
      <c r="E1" t="s">
        <v>18</v>
      </c>
      <c r="F1" t="s">
        <v>24</v>
      </c>
      <c r="G1" t="s">
        <v>22</v>
      </c>
      <c r="H1" t="s">
        <v>23</v>
      </c>
      <c r="I1" t="s">
        <v>26</v>
      </c>
    </row>
    <row r="2" spans="1:9" s="7" customFormat="1" x14ac:dyDescent="0.25">
      <c r="A2" s="7">
        <f>Achievements!A2</f>
        <v>1</v>
      </c>
      <c r="B2" s="7" t="str">
        <f>Achievements!C2</f>
        <v>Playing With Fire!</v>
      </c>
      <c r="C2" s="7" t="str">
        <f>Achievements!F2</f>
        <v>Obtain the fire ability</v>
      </c>
      <c r="D2" s="7" t="s">
        <v>19</v>
      </c>
      <c r="E2" s="7" t="s">
        <v>19</v>
      </c>
      <c r="F2" s="7" t="s">
        <v>19</v>
      </c>
      <c r="G2" s="7" t="s">
        <v>19</v>
      </c>
      <c r="H2" s="7" t="s">
        <v>19</v>
      </c>
      <c r="I2" s="7" t="str">
        <f t="shared" ref="I2" si="0">IF(COUNTIF(D2:H2,"X")=5,"YES","NO")</f>
        <v>YES</v>
      </c>
    </row>
    <row r="3" spans="1:9" s="7" customFormat="1" x14ac:dyDescent="0.25">
      <c r="A3" s="7">
        <f>Achievements!A3</f>
        <v>2</v>
      </c>
      <c r="B3" s="7" t="str">
        <f>Achievements!C3</f>
        <v>It’s Alive!</v>
      </c>
      <c r="C3" s="7" t="str">
        <f>Achievements!F3</f>
        <v>Obtain the spark ability</v>
      </c>
      <c r="D3" s="7" t="s">
        <v>19</v>
      </c>
      <c r="E3" s="7" t="s">
        <v>19</v>
      </c>
      <c r="F3" s="7" t="s">
        <v>19</v>
      </c>
      <c r="G3" s="7" t="s">
        <v>19</v>
      </c>
      <c r="H3" s="7" t="s">
        <v>19</v>
      </c>
      <c r="I3" s="7" t="str">
        <f t="shared" ref="I3:I17" si="1">IF(COUNTIF(D3:H3,"X")=5,"YES","NO")</f>
        <v>YES</v>
      </c>
    </row>
    <row r="4" spans="1:9" s="7" customFormat="1" x14ac:dyDescent="0.25">
      <c r="A4" s="7">
        <f>Achievements!A4</f>
        <v>3</v>
      </c>
      <c r="B4" s="7" t="str">
        <f>Achievements!C4</f>
        <v>Tell ‘Em Freddy Sent Ya!</v>
      </c>
      <c r="C4" s="7" t="str">
        <f>Achievements!F4</f>
        <v>Obtain the cutter ability</v>
      </c>
      <c r="D4" s="7" t="s">
        <v>19</v>
      </c>
      <c r="E4" s="7" t="s">
        <v>19</v>
      </c>
      <c r="F4" s="7" t="s">
        <v>19</v>
      </c>
      <c r="G4" s="7" t="s">
        <v>19</v>
      </c>
      <c r="H4" s="7" t="s">
        <v>19</v>
      </c>
      <c r="I4" s="7" t="str">
        <f t="shared" si="1"/>
        <v>YES</v>
      </c>
    </row>
    <row r="5" spans="1:9" s="7" customFormat="1" x14ac:dyDescent="0.25">
      <c r="A5" s="7">
        <f>Achievements!A5</f>
        <v>4</v>
      </c>
      <c r="B5" s="7" t="str">
        <f>Achievements!C5</f>
        <v>Sword, Quench Your Thirst!</v>
      </c>
      <c r="C5" s="7" t="str">
        <f>Achievements!F5</f>
        <v>Obtain the sword ability</v>
      </c>
      <c r="D5" s="7" t="s">
        <v>19</v>
      </c>
      <c r="E5" s="7" t="s">
        <v>19</v>
      </c>
      <c r="F5" s="7" t="s">
        <v>19</v>
      </c>
      <c r="G5" s="7" t="s">
        <v>19</v>
      </c>
      <c r="H5" s="7" t="s">
        <v>19</v>
      </c>
      <c r="I5" s="7" t="str">
        <f t="shared" si="1"/>
        <v>YES</v>
      </c>
    </row>
    <row r="6" spans="1:9" s="7" customFormat="1" x14ac:dyDescent="0.25">
      <c r="A6" s="7">
        <f>Achievements!A6</f>
        <v>5</v>
      </c>
      <c r="B6" s="7" t="str">
        <f>Achievements!C6</f>
        <v>Burning Man!</v>
      </c>
      <c r="C6" s="7" t="str">
        <f>Achievements!F6</f>
        <v>Obtain the burning ability</v>
      </c>
      <c r="D6" s="7" t="s">
        <v>19</v>
      </c>
      <c r="E6" s="7" t="s">
        <v>19</v>
      </c>
      <c r="F6" s="7" t="s">
        <v>19</v>
      </c>
      <c r="G6" s="7" t="s">
        <v>19</v>
      </c>
      <c r="H6" s="7" t="s">
        <v>19</v>
      </c>
      <c r="I6" s="7" t="str">
        <f t="shared" si="1"/>
        <v>YES</v>
      </c>
    </row>
    <row r="7" spans="1:9" s="7" customFormat="1" x14ac:dyDescent="0.25">
      <c r="A7" s="7">
        <f>Achievements!A7</f>
        <v>6</v>
      </c>
      <c r="B7" s="7" t="str">
        <f>Achievements!C7</f>
        <v>Energy Blasts, Huh? Here’s One From a Pro!</v>
      </c>
      <c r="C7" s="7" t="str">
        <f>Achievements!F7</f>
        <v>Obtain the laser ability</v>
      </c>
      <c r="D7" s="7" t="s">
        <v>19</v>
      </c>
      <c r="E7" s="7" t="s">
        <v>19</v>
      </c>
      <c r="F7" s="7" t="s">
        <v>19</v>
      </c>
      <c r="G7" s="7" t="s">
        <v>19</v>
      </c>
      <c r="H7" s="7" t="s">
        <v>19</v>
      </c>
      <c r="I7" s="7" t="str">
        <f t="shared" si="1"/>
        <v>YES</v>
      </c>
    </row>
    <row r="8" spans="1:9" s="7" customFormat="1" x14ac:dyDescent="0.25">
      <c r="A8" s="7">
        <f>Achievements!A8</f>
        <v>7</v>
      </c>
      <c r="B8" s="7" t="str">
        <f>Achievements!C8</f>
        <v>Sibilance!</v>
      </c>
      <c r="C8" s="7" t="str">
        <f>Achievements!F8</f>
        <v>Obtain the mike ability</v>
      </c>
      <c r="D8" s="7" t="s">
        <v>19</v>
      </c>
      <c r="E8" s="7" t="s">
        <v>19</v>
      </c>
      <c r="F8" s="7" t="s">
        <v>19</v>
      </c>
      <c r="G8" s="7" t="s">
        <v>19</v>
      </c>
      <c r="H8" s="7" t="s">
        <v>19</v>
      </c>
      <c r="I8" s="7" t="str">
        <f t="shared" si="1"/>
        <v>YES</v>
      </c>
    </row>
    <row r="9" spans="1:9" s="7" customFormat="1" x14ac:dyDescent="0.25">
      <c r="A9" s="7">
        <f>Achievements!A9</f>
        <v>8</v>
      </c>
      <c r="B9" s="7" t="str">
        <f>Achievements!C9</f>
        <v>Roll Out!</v>
      </c>
      <c r="C9" s="7" t="str">
        <f>Achievements!F9</f>
        <v>Obtain the wheel ability</v>
      </c>
      <c r="D9" s="7" t="s">
        <v>19</v>
      </c>
      <c r="E9" s="7" t="s">
        <v>19</v>
      </c>
      <c r="F9" s="7" t="s">
        <v>19</v>
      </c>
      <c r="G9" s="7" t="s">
        <v>19</v>
      </c>
      <c r="H9" s="7" t="s">
        <v>19</v>
      </c>
      <c r="I9" s="7" t="str">
        <f t="shared" si="1"/>
        <v>YES</v>
      </c>
    </row>
    <row r="10" spans="1:9" s="7" customFormat="1" x14ac:dyDescent="0.25">
      <c r="A10" s="7">
        <f>Achievements!A10</f>
        <v>9</v>
      </c>
      <c r="B10" s="7" t="str">
        <f>Achievements!C10</f>
        <v>Everything Looks Like a Nail!</v>
      </c>
      <c r="C10" s="7" t="str">
        <f>Achievements!F10</f>
        <v>Obtain the hammer ability</v>
      </c>
      <c r="D10" s="7" t="s">
        <v>19</v>
      </c>
      <c r="E10" s="7" t="s">
        <v>19</v>
      </c>
      <c r="F10" s="7" t="s">
        <v>19</v>
      </c>
      <c r="G10" s="7" t="s">
        <v>19</v>
      </c>
      <c r="H10" s="7" t="s">
        <v>19</v>
      </c>
      <c r="I10" s="7" t="str">
        <f t="shared" si="1"/>
        <v>YES</v>
      </c>
    </row>
    <row r="11" spans="1:9" s="7" customFormat="1" x14ac:dyDescent="0.25">
      <c r="A11" s="7">
        <f>Achievements!A11</f>
        <v>10</v>
      </c>
      <c r="B11" s="7" t="str">
        <f>Achievements!C11</f>
        <v>I’m Mary Poppin’s Y’all!</v>
      </c>
      <c r="C11" s="7" t="str">
        <f>Achievements!F11</f>
        <v>Obtain the parasol ability</v>
      </c>
      <c r="D11" s="7" t="s">
        <v>19</v>
      </c>
      <c r="E11" s="7" t="s">
        <v>19</v>
      </c>
      <c r="F11" s="7" t="s">
        <v>19</v>
      </c>
      <c r="G11" s="7" t="s">
        <v>19</v>
      </c>
      <c r="H11" s="7" t="s">
        <v>19</v>
      </c>
      <c r="I11" s="7" t="str">
        <f t="shared" si="1"/>
        <v>YES</v>
      </c>
    </row>
    <row r="12" spans="1:9" s="7" customFormat="1" x14ac:dyDescent="0.25">
      <c r="A12" s="7">
        <f>Achievements!A12</f>
        <v>11</v>
      </c>
      <c r="B12" s="7" t="str">
        <f>Achievements!C12</f>
        <v>Sweet Dreams!</v>
      </c>
      <c r="C12" s="7" t="str">
        <f>Achievements!F12</f>
        <v>Obtain the sleep ability</v>
      </c>
      <c r="D12" s="7" t="s">
        <v>19</v>
      </c>
      <c r="E12" s="7" t="s">
        <v>19</v>
      </c>
      <c r="F12" s="7" t="s">
        <v>19</v>
      </c>
      <c r="G12" s="7" t="s">
        <v>19</v>
      </c>
      <c r="H12" s="7" t="s">
        <v>19</v>
      </c>
      <c r="I12" s="7" t="str">
        <f t="shared" si="1"/>
        <v>YES</v>
      </c>
    </row>
    <row r="13" spans="1:9" s="7" customFormat="1" x14ac:dyDescent="0.25">
      <c r="A13" s="7">
        <f>Achievements!A13</f>
        <v>12</v>
      </c>
      <c r="B13" s="7" t="str">
        <f>Achievements!C13</f>
        <v>Pins and Needles!</v>
      </c>
      <c r="C13" s="7" t="str">
        <f>Achievements!F13</f>
        <v>Obtain the needle ability</v>
      </c>
      <c r="D13" s="7" t="s">
        <v>19</v>
      </c>
      <c r="E13" s="7" t="s">
        <v>19</v>
      </c>
      <c r="F13" s="7" t="s">
        <v>19</v>
      </c>
      <c r="G13" s="7" t="s">
        <v>19</v>
      </c>
      <c r="H13" s="7" t="s">
        <v>19</v>
      </c>
      <c r="I13" s="7" t="str">
        <f t="shared" si="1"/>
        <v>YES</v>
      </c>
    </row>
    <row r="14" spans="1:9" s="7" customFormat="1" x14ac:dyDescent="0.25">
      <c r="A14" s="7">
        <f>Achievements!A14</f>
        <v>13</v>
      </c>
      <c r="B14" s="7" t="str">
        <f>Achievements!C14</f>
        <v>Cold as Ice!</v>
      </c>
      <c r="C14" s="7" t="str">
        <f>Achievements!F14</f>
        <v>Obtain the ice ability</v>
      </c>
      <c r="D14" s="7" t="s">
        <v>19</v>
      </c>
      <c r="E14" s="7" t="s">
        <v>19</v>
      </c>
      <c r="F14" s="7" t="s">
        <v>19</v>
      </c>
      <c r="G14" s="7" t="s">
        <v>19</v>
      </c>
      <c r="H14" s="7" t="s">
        <v>19</v>
      </c>
      <c r="I14" s="7" t="str">
        <f t="shared" si="1"/>
        <v>YES</v>
      </c>
    </row>
    <row r="15" spans="1:9" s="7" customFormat="1" x14ac:dyDescent="0.25">
      <c r="A15" s="7">
        <f>Achievements!A15</f>
        <v>14</v>
      </c>
      <c r="B15" s="7" t="str">
        <f>Achievements!C15</f>
        <v>Freeze!</v>
      </c>
      <c r="C15" s="7" t="str">
        <f>Achievements!F15</f>
        <v>Obtain the freeze ability</v>
      </c>
      <c r="D15" s="7" t="s">
        <v>19</v>
      </c>
      <c r="E15" s="7" t="s">
        <v>19</v>
      </c>
      <c r="F15" s="7" t="s">
        <v>19</v>
      </c>
      <c r="G15" s="7" t="s">
        <v>19</v>
      </c>
      <c r="H15" s="7" t="s">
        <v>19</v>
      </c>
      <c r="I15" s="7" t="str">
        <f t="shared" si="1"/>
        <v>YES</v>
      </c>
    </row>
    <row r="16" spans="1:9" s="7" customFormat="1" x14ac:dyDescent="0.25">
      <c r="A16" s="7">
        <f>Achievements!A16</f>
        <v>15</v>
      </c>
      <c r="B16" s="7" t="str">
        <f>Achievements!C16</f>
        <v>Able to Leap Tall Buildings in a Single Bound!</v>
      </c>
      <c r="C16" s="7" t="str">
        <f>Achievements!F16</f>
        <v>Obtain the hi-jump ability</v>
      </c>
      <c r="D16" s="7" t="s">
        <v>19</v>
      </c>
      <c r="E16" s="7" t="s">
        <v>19</v>
      </c>
      <c r="F16" s="7" t="s">
        <v>19</v>
      </c>
      <c r="G16" s="7" t="s">
        <v>19</v>
      </c>
      <c r="H16" s="7" t="s">
        <v>19</v>
      </c>
      <c r="I16" s="7" t="str">
        <f t="shared" si="1"/>
        <v>YES</v>
      </c>
    </row>
    <row r="17" spans="1:9" s="7" customFormat="1" x14ac:dyDescent="0.25">
      <c r="A17" s="7">
        <f>Achievements!A17</f>
        <v>16</v>
      </c>
      <c r="B17" s="7" t="str">
        <f>Achievements!C17</f>
        <v>Beaming!</v>
      </c>
      <c r="C17" s="7" t="str">
        <f>Achievements!F17</f>
        <v>Obtain the beam ability</v>
      </c>
      <c r="D17" s="7" t="s">
        <v>19</v>
      </c>
      <c r="E17" s="7" t="s">
        <v>19</v>
      </c>
      <c r="F17" s="7" t="s">
        <v>19</v>
      </c>
      <c r="G17" s="7" t="s">
        <v>19</v>
      </c>
      <c r="H17" s="7" t="s">
        <v>19</v>
      </c>
      <c r="I17" s="7" t="str">
        <f t="shared" si="1"/>
        <v>YES</v>
      </c>
    </row>
    <row r="18" spans="1:9" s="7" customFormat="1" x14ac:dyDescent="0.25">
      <c r="A18" s="7">
        <f>Achievements!A18</f>
        <v>17</v>
      </c>
      <c r="B18" s="7" t="str">
        <f>Achievements!C18</f>
        <v>I Got a Rock!</v>
      </c>
      <c r="C18" s="7" t="str">
        <f>Achievements!F18</f>
        <v>Obtain the rock ability</v>
      </c>
      <c r="D18" s="7" t="s">
        <v>19</v>
      </c>
      <c r="E18" s="7" t="s">
        <v>19</v>
      </c>
      <c r="F18" s="7" t="s">
        <v>19</v>
      </c>
      <c r="G18" s="7" t="s">
        <v>19</v>
      </c>
      <c r="H18" s="7" t="s">
        <v>19</v>
      </c>
      <c r="I18" s="7" t="str">
        <f t="shared" ref="I18:I81" si="2">IF(COUNTIF(D18:H18,"X")=5,"YES","NO")</f>
        <v>YES</v>
      </c>
    </row>
    <row r="19" spans="1:9" s="7" customFormat="1" x14ac:dyDescent="0.25">
      <c r="A19" s="7">
        <f>Achievements!A19</f>
        <v>18</v>
      </c>
      <c r="B19" s="7" t="str">
        <f>Achievements!C19</f>
        <v>Be the Ball!</v>
      </c>
      <c r="C19" s="7" t="str">
        <f>Achievements!F19</f>
        <v>Obtain the b-ball ability</v>
      </c>
      <c r="D19" s="7" t="s">
        <v>19</v>
      </c>
      <c r="E19" s="7" t="s">
        <v>19</v>
      </c>
      <c r="F19" s="7" t="s">
        <v>19</v>
      </c>
      <c r="G19" s="7" t="s">
        <v>19</v>
      </c>
      <c r="H19" s="7" t="s">
        <v>19</v>
      </c>
      <c r="I19" s="7" t="str">
        <f t="shared" si="2"/>
        <v>YES</v>
      </c>
    </row>
    <row r="20" spans="1:9" s="7" customFormat="1" x14ac:dyDescent="0.25">
      <c r="A20" s="7">
        <f>Achievements!A20</f>
        <v>19</v>
      </c>
      <c r="B20" s="7" t="str">
        <f>Achievements!C20</f>
        <v>Sharknado!</v>
      </c>
      <c r="C20" s="7" t="str">
        <f>Achievements!F20</f>
        <v>Obtain the tornado ability</v>
      </c>
      <c r="D20" s="7" t="s">
        <v>19</v>
      </c>
      <c r="E20" s="7" t="s">
        <v>19</v>
      </c>
      <c r="F20" s="7" t="s">
        <v>19</v>
      </c>
      <c r="G20" s="7" t="s">
        <v>19</v>
      </c>
      <c r="H20" s="7" t="s">
        <v>19</v>
      </c>
      <c r="I20" s="7" t="str">
        <f t="shared" si="2"/>
        <v>YES</v>
      </c>
    </row>
    <row r="21" spans="1:9" s="7" customFormat="1" x14ac:dyDescent="0.25">
      <c r="A21" s="7">
        <f>Achievements!A21</f>
        <v>20</v>
      </c>
      <c r="B21" s="7" t="str">
        <f>Achievements!C21</f>
        <v>Crash the Party!</v>
      </c>
      <c r="C21" s="7" t="str">
        <f>Achievements!F21</f>
        <v>Obtain the crash ability</v>
      </c>
      <c r="D21" s="7" t="s">
        <v>19</v>
      </c>
      <c r="E21" s="7" t="s">
        <v>19</v>
      </c>
      <c r="F21" s="7" t="s">
        <v>19</v>
      </c>
      <c r="G21" s="7" t="s">
        <v>19</v>
      </c>
      <c r="H21" s="7" t="s">
        <v>19</v>
      </c>
      <c r="I21" s="7" t="str">
        <f t="shared" si="2"/>
        <v>YES</v>
      </c>
    </row>
    <row r="22" spans="1:9" s="7" customFormat="1" x14ac:dyDescent="0.25">
      <c r="A22" s="7">
        <f>Achievements!A22</f>
        <v>21</v>
      </c>
      <c r="B22" s="7" t="str">
        <f>Achievements!C22</f>
        <v>Lightbringer!</v>
      </c>
      <c r="C22" s="7" t="str">
        <f>Achievements!F22</f>
        <v>Obtain the light ability</v>
      </c>
      <c r="D22" s="7" t="s">
        <v>19</v>
      </c>
      <c r="E22" s="7" t="s">
        <v>19</v>
      </c>
      <c r="F22" s="7" t="s">
        <v>19</v>
      </c>
      <c r="G22" s="7" t="s">
        <v>19</v>
      </c>
      <c r="H22" s="7" t="s">
        <v>19</v>
      </c>
      <c r="I22" s="7" t="str">
        <f t="shared" si="2"/>
        <v>YES</v>
      </c>
    </row>
    <row r="23" spans="1:9" s="7" customFormat="1" x14ac:dyDescent="0.25">
      <c r="A23" s="7">
        <f>Achievements!A23</f>
        <v>22</v>
      </c>
      <c r="B23" s="7" t="str">
        <f>Achievements!C23</f>
        <v>Wanna Wrestle?</v>
      </c>
      <c r="C23" s="7" t="str">
        <f>Achievements!F23</f>
        <v>Obtain the wrestler ability</v>
      </c>
      <c r="D23" s="7" t="s">
        <v>19</v>
      </c>
      <c r="E23" s="7" t="s">
        <v>19</v>
      </c>
      <c r="F23" s="7" t="s">
        <v>19</v>
      </c>
      <c r="G23" s="7" t="s">
        <v>19</v>
      </c>
      <c r="H23" s="7" t="s">
        <v>19</v>
      </c>
      <c r="I23" s="7" t="str">
        <f t="shared" si="2"/>
        <v>YES</v>
      </c>
    </row>
    <row r="24" spans="1:9" s="7" customFormat="1" x14ac:dyDescent="0.25">
      <c r="A24" s="7">
        <f>Achievements!A24</f>
        <v>23</v>
      </c>
      <c r="B24" s="7" t="str">
        <f>Achievements!C24</f>
        <v>Throwing Stars!</v>
      </c>
      <c r="C24" s="7" t="str">
        <f>Achievements!F24</f>
        <v>Obtain the throw ability</v>
      </c>
      <c r="D24" s="7" t="s">
        <v>19</v>
      </c>
      <c r="E24" s="7" t="s">
        <v>19</v>
      </c>
      <c r="F24" s="7" t="s">
        <v>19</v>
      </c>
      <c r="G24" s="7" t="s">
        <v>19</v>
      </c>
      <c r="H24" s="7" t="s">
        <v>19</v>
      </c>
      <c r="I24" s="7" t="str">
        <f t="shared" si="2"/>
        <v>YES</v>
      </c>
    </row>
    <row r="25" spans="1:9" s="7" customFormat="1" x14ac:dyDescent="0.25">
      <c r="A25" s="7">
        <f>Achievements!A25</f>
        <v>24</v>
      </c>
      <c r="B25" s="7" t="str">
        <f>Achievements!C25</f>
        <v>It Came From Planet Dream Land!</v>
      </c>
      <c r="C25" s="7" t="str">
        <f>Achievements!F25</f>
        <v>Obtain the U.F.O. ability</v>
      </c>
      <c r="D25" s="7" t="s">
        <v>19</v>
      </c>
      <c r="E25" s="7" t="s">
        <v>19</v>
      </c>
      <c r="F25" s="7" t="s">
        <v>19</v>
      </c>
      <c r="G25" s="7" t="s">
        <v>19</v>
      </c>
      <c r="H25" s="7" t="s">
        <v>19</v>
      </c>
      <c r="I25" s="7" t="str">
        <f t="shared" si="2"/>
        <v>YES</v>
      </c>
    </row>
    <row r="26" spans="1:9" s="7" customFormat="1" x14ac:dyDescent="0.25">
      <c r="A26" s="7">
        <f>Achievements!A26</f>
        <v>25</v>
      </c>
      <c r="B26" s="7" t="str">
        <f>Achievements!C26</f>
        <v>Shaken, Not Stirred!</v>
      </c>
      <c r="C26" s="7" t="str">
        <f>Achievements!F26</f>
        <v>Obtain the mix ability</v>
      </c>
      <c r="D26" s="7" t="s">
        <v>19</v>
      </c>
      <c r="E26" s="7" t="s">
        <v>19</v>
      </c>
      <c r="F26" s="7" t="s">
        <v>19</v>
      </c>
      <c r="G26" s="7" t="s">
        <v>19</v>
      </c>
      <c r="H26" s="7" t="s">
        <v>19</v>
      </c>
      <c r="I26" s="7" t="str">
        <f t="shared" si="2"/>
        <v>YES</v>
      </c>
    </row>
    <row r="27" spans="1:9" s="7" customFormat="1" x14ac:dyDescent="0.25">
      <c r="A27" s="7">
        <f>Achievements!A27</f>
        <v>26</v>
      </c>
      <c r="B27" s="7" t="str">
        <f>Achievements!C27</f>
        <v>Pumpkin Prairie!</v>
      </c>
      <c r="C27" s="7" t="str">
        <f>Achievements!F27</f>
        <v>Complete Pumpkin Prairie on normal</v>
      </c>
      <c r="D27" s="7" t="s">
        <v>19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tr">
        <f t="shared" si="2"/>
        <v>YES</v>
      </c>
    </row>
    <row r="28" spans="1:9" s="7" customFormat="1" x14ac:dyDescent="0.25">
      <c r="A28" s="7">
        <f>Achievements!A28</f>
        <v>27</v>
      </c>
      <c r="B28" s="7" t="str">
        <f>Achievements!C28</f>
        <v>Spooky Seaside!</v>
      </c>
      <c r="C28" s="7" t="str">
        <f>Achievements!F28</f>
        <v>Complete Spooky Seaside on normal</v>
      </c>
      <c r="D28" s="7" t="s">
        <v>19</v>
      </c>
      <c r="E28" s="7" t="s">
        <v>19</v>
      </c>
      <c r="F28" s="7" t="s">
        <v>19</v>
      </c>
      <c r="G28" s="7" t="s">
        <v>19</v>
      </c>
      <c r="H28" s="7" t="s">
        <v>19</v>
      </c>
      <c r="I28" s="7" t="str">
        <f t="shared" si="2"/>
        <v>YES</v>
      </c>
    </row>
    <row r="29" spans="1:9" s="7" customFormat="1" x14ac:dyDescent="0.25">
      <c r="A29" s="7">
        <f>Achievements!A29</f>
        <v>28</v>
      </c>
      <c r="B29" s="7" t="str">
        <f>Achievements!C29</f>
        <v>Terror Tower!</v>
      </c>
      <c r="C29" s="7" t="str">
        <f>Achievements!F29</f>
        <v>Complete Terror Tower on normal</v>
      </c>
      <c r="D29" s="7" t="s">
        <v>19</v>
      </c>
      <c r="E29" s="7" t="s">
        <v>19</v>
      </c>
      <c r="F29" s="7" t="s">
        <v>19</v>
      </c>
      <c r="G29" s="7" t="s">
        <v>19</v>
      </c>
      <c r="H29" s="7" t="s">
        <v>19</v>
      </c>
      <c r="I29" s="7" t="str">
        <f t="shared" si="2"/>
        <v>YES</v>
      </c>
    </row>
    <row r="30" spans="1:9" s="7" customFormat="1" x14ac:dyDescent="0.25">
      <c r="A30" s="7">
        <f>Achievements!A30</f>
        <v>29</v>
      </c>
      <c r="B30" s="7" t="str">
        <f>Achievements!C30</f>
        <v>Skull Street!</v>
      </c>
      <c r="C30" s="7" t="str">
        <f>Achievements!F30</f>
        <v>Complete Skull Street on normal</v>
      </c>
      <c r="D30" s="7" t="s">
        <v>19</v>
      </c>
      <c r="E30" s="7" t="s">
        <v>19</v>
      </c>
      <c r="F30" s="7" t="s">
        <v>19</v>
      </c>
      <c r="G30" s="7" t="s">
        <v>19</v>
      </c>
      <c r="H30" s="7" t="s">
        <v>19</v>
      </c>
      <c r="I30" s="7" t="str">
        <f t="shared" si="2"/>
        <v>YES</v>
      </c>
    </row>
    <row r="31" spans="1:9" s="7" customFormat="1" x14ac:dyDescent="0.25">
      <c r="A31" s="7">
        <f>Achievements!A31</f>
        <v>30</v>
      </c>
      <c r="B31" s="7" t="str">
        <f>Achievements!C31</f>
        <v>Mount Mist!</v>
      </c>
      <c r="C31" s="7" t="str">
        <f>Achievements!F31</f>
        <v>Complete Mount Mist on normal</v>
      </c>
      <c r="D31" s="7" t="s">
        <v>19</v>
      </c>
      <c r="E31" s="7" t="s">
        <v>19</v>
      </c>
      <c r="F31" s="7" t="s">
        <v>19</v>
      </c>
      <c r="G31" s="7" t="s">
        <v>19</v>
      </c>
      <c r="H31" s="7" t="s">
        <v>19</v>
      </c>
      <c r="I31" s="7" t="str">
        <f t="shared" si="2"/>
        <v>YES</v>
      </c>
    </row>
    <row r="32" spans="1:9" s="7" customFormat="1" x14ac:dyDescent="0.25">
      <c r="A32" s="7">
        <f>Achievements!A32</f>
        <v>31</v>
      </c>
      <c r="B32" s="7" t="str">
        <f>Achievements!C32</f>
        <v>Hades Harbor!</v>
      </c>
      <c r="C32" s="7" t="str">
        <f>Achievements!F32</f>
        <v>Complete Hades Harbor on normal</v>
      </c>
      <c r="D32" s="7" t="s">
        <v>19</v>
      </c>
      <c r="E32" s="7" t="s">
        <v>19</v>
      </c>
      <c r="F32" s="7" t="s">
        <v>19</v>
      </c>
      <c r="G32" s="7" t="s">
        <v>19</v>
      </c>
      <c r="H32" s="7" t="s">
        <v>19</v>
      </c>
      <c r="I32" s="7" t="str">
        <f t="shared" si="2"/>
        <v>YES</v>
      </c>
    </row>
    <row r="33" spans="1:11" s="7" customFormat="1" x14ac:dyDescent="0.25">
      <c r="A33" s="7">
        <f>Achievements!A33</f>
        <v>32</v>
      </c>
      <c r="B33" s="7" t="str">
        <f>Achievements!C33</f>
        <v>Ghostly Graves!</v>
      </c>
      <c r="C33" s="7" t="str">
        <f>Achievements!F33</f>
        <v>Complete Ghostly Graves on normal</v>
      </c>
      <c r="D33" s="7" t="s">
        <v>19</v>
      </c>
      <c r="E33" s="7" t="s">
        <v>19</v>
      </c>
      <c r="F33" s="7" t="s">
        <v>19</v>
      </c>
      <c r="G33" s="7" t="s">
        <v>19</v>
      </c>
      <c r="H33" s="7" t="s">
        <v>19</v>
      </c>
      <c r="I33" s="7" t="str">
        <f t="shared" si="2"/>
        <v>YES</v>
      </c>
    </row>
    <row r="34" spans="1:11" s="7" customFormat="1" x14ac:dyDescent="0.25">
      <c r="A34" s="7">
        <f>Achievements!A34</f>
        <v>33</v>
      </c>
      <c r="B34" s="7" t="str">
        <f>Achievements!C34</f>
        <v>The Fountain of Dreams!</v>
      </c>
      <c r="C34" s="7" t="str">
        <f>Achievements!F34</f>
        <v>Complete The Fountain of Dreams on normal</v>
      </c>
      <c r="D34" s="7" t="s">
        <v>19</v>
      </c>
      <c r="E34" s="7" t="s">
        <v>19</v>
      </c>
      <c r="F34" s="7" t="s">
        <v>19</v>
      </c>
      <c r="G34" s="7" t="s">
        <v>19</v>
      </c>
      <c r="H34" s="7" t="s">
        <v>19</v>
      </c>
      <c r="I34" s="7" t="str">
        <f t="shared" si="2"/>
        <v>YES</v>
      </c>
    </row>
    <row r="35" spans="1:11" s="7" customFormat="1" x14ac:dyDescent="0.25">
      <c r="A35" s="7">
        <f>Achievements!A35</f>
        <v>34</v>
      </c>
      <c r="B35" s="7" t="str">
        <f>Achievements!C35</f>
        <v>Pumpkin Prairie Extra!</v>
      </c>
      <c r="C35" s="7" t="str">
        <f>Achievements!F35</f>
        <v>Complete Pumpkin Prairie on extra</v>
      </c>
      <c r="D35" s="7" t="s">
        <v>19</v>
      </c>
      <c r="E35" s="7" t="s">
        <v>19</v>
      </c>
      <c r="F35" s="7" t="s">
        <v>19</v>
      </c>
      <c r="G35" s="7" t="s">
        <v>19</v>
      </c>
      <c r="H35" s="7" t="s">
        <v>19</v>
      </c>
      <c r="I35" s="7" t="str">
        <f t="shared" si="2"/>
        <v>YES</v>
      </c>
    </row>
    <row r="36" spans="1:11" s="7" customFormat="1" x14ac:dyDescent="0.25">
      <c r="A36" s="7">
        <f>Achievements!A36</f>
        <v>35</v>
      </c>
      <c r="B36" s="7" t="str">
        <f>Achievements!C36</f>
        <v>Spooky Seaside Extra!</v>
      </c>
      <c r="C36" s="7" t="str">
        <f>Achievements!F36</f>
        <v>Complete Spooky Seaside on extra</v>
      </c>
      <c r="D36" s="7" t="s">
        <v>19</v>
      </c>
      <c r="E36" s="7" t="s">
        <v>19</v>
      </c>
      <c r="F36" s="7" t="s">
        <v>19</v>
      </c>
      <c r="G36" s="7" t="s">
        <v>19</v>
      </c>
      <c r="H36" s="7" t="s">
        <v>19</v>
      </c>
      <c r="I36" s="7" t="str">
        <f t="shared" si="2"/>
        <v>YES</v>
      </c>
    </row>
    <row r="37" spans="1:11" s="7" customFormat="1" x14ac:dyDescent="0.25">
      <c r="A37" s="7">
        <f>Achievements!A37</f>
        <v>36</v>
      </c>
      <c r="B37" s="7" t="str">
        <f>Achievements!C37</f>
        <v>Terror Tower Extra!</v>
      </c>
      <c r="C37" s="7" t="str">
        <f>Achievements!F37</f>
        <v>Complete Terror Tower on extra</v>
      </c>
      <c r="D37" s="7" t="s">
        <v>19</v>
      </c>
      <c r="E37" s="7" t="s">
        <v>19</v>
      </c>
      <c r="F37" s="7" t="s">
        <v>19</v>
      </c>
      <c r="G37" s="7" t="s">
        <v>19</v>
      </c>
      <c r="H37" s="7" t="s">
        <v>19</v>
      </c>
      <c r="I37" s="7" t="str">
        <f t="shared" si="2"/>
        <v>YES</v>
      </c>
    </row>
    <row r="38" spans="1:11" s="7" customFormat="1" x14ac:dyDescent="0.25">
      <c r="A38" s="7">
        <f>Achievements!A38</f>
        <v>37</v>
      </c>
      <c r="B38" s="7" t="str">
        <f>Achievements!C38</f>
        <v>Skull Street Extra!</v>
      </c>
      <c r="C38" s="7" t="str">
        <f>Achievements!F38</f>
        <v>Complete Skull Street on extra</v>
      </c>
      <c r="D38" s="7" t="s">
        <v>19</v>
      </c>
      <c r="E38" s="7" t="s">
        <v>19</v>
      </c>
      <c r="F38" s="7" t="s">
        <v>19</v>
      </c>
      <c r="G38" s="7" t="s">
        <v>19</v>
      </c>
      <c r="H38" s="7" t="s">
        <v>19</v>
      </c>
      <c r="I38" s="7" t="str">
        <f t="shared" si="2"/>
        <v>YES</v>
      </c>
    </row>
    <row r="39" spans="1:11" s="7" customFormat="1" x14ac:dyDescent="0.25">
      <c r="A39" s="7">
        <f>Achievements!A39</f>
        <v>38</v>
      </c>
      <c r="B39" s="7" t="str">
        <f>Achievements!C39</f>
        <v>Mount Mist Extra!</v>
      </c>
      <c r="C39" s="7" t="str">
        <f>Achievements!F39</f>
        <v>Complete Mount Mist on extra</v>
      </c>
      <c r="D39" s="7" t="s">
        <v>19</v>
      </c>
      <c r="E39" s="7" t="s">
        <v>19</v>
      </c>
      <c r="F39" s="7" t="s">
        <v>19</v>
      </c>
      <c r="G39" s="7" t="s">
        <v>19</v>
      </c>
      <c r="H39" s="7" t="s">
        <v>19</v>
      </c>
      <c r="I39" s="7" t="str">
        <f t="shared" si="2"/>
        <v>YES</v>
      </c>
    </row>
    <row r="40" spans="1:11" s="7" customFormat="1" x14ac:dyDescent="0.25">
      <c r="A40" s="7">
        <f>Achievements!A40</f>
        <v>39</v>
      </c>
      <c r="B40" s="7" t="str">
        <f>Achievements!C40</f>
        <v>Hades Harbor Extra!</v>
      </c>
      <c r="C40" s="7" t="str">
        <f>Achievements!F40</f>
        <v>Complete Hades Harbor on extra</v>
      </c>
      <c r="D40" s="7" t="s">
        <v>19</v>
      </c>
      <c r="E40" s="7" t="s">
        <v>19</v>
      </c>
      <c r="F40" s="7" t="s">
        <v>19</v>
      </c>
      <c r="G40" s="7" t="s">
        <v>19</v>
      </c>
      <c r="H40" s="7" t="s">
        <v>19</v>
      </c>
      <c r="I40" s="7" t="str">
        <f t="shared" si="2"/>
        <v>YES</v>
      </c>
    </row>
    <row r="41" spans="1:11" s="7" customFormat="1" x14ac:dyDescent="0.25">
      <c r="A41" s="7">
        <f>Achievements!A41</f>
        <v>40</v>
      </c>
      <c r="B41" s="7" t="str">
        <f>Achievements!C41</f>
        <v>Ghostly Graves Extra!</v>
      </c>
      <c r="C41" s="7" t="str">
        <f>Achievements!F41</f>
        <v>Complete Ghostly Graves on extra</v>
      </c>
      <c r="D41" s="7" t="s">
        <v>19</v>
      </c>
      <c r="E41" s="7" t="s">
        <v>19</v>
      </c>
      <c r="F41" s="7" t="s">
        <v>19</v>
      </c>
      <c r="G41" s="7" t="s">
        <v>19</v>
      </c>
      <c r="H41" s="7" t="s">
        <v>19</v>
      </c>
      <c r="I41" s="7" t="str">
        <f t="shared" si="2"/>
        <v>YES</v>
      </c>
    </row>
    <row r="42" spans="1:11" s="7" customFormat="1" x14ac:dyDescent="0.25">
      <c r="A42" s="7">
        <f>Achievements!A42</f>
        <v>41</v>
      </c>
      <c r="B42" s="7" t="str">
        <f>Achievements!C42</f>
        <v>The Fountain of Dreams Extra!</v>
      </c>
      <c r="C42" s="7" t="str">
        <f>Achievements!F42</f>
        <v>Complete The Fountain of Dreams on extra</v>
      </c>
      <c r="D42" s="7" t="s">
        <v>19</v>
      </c>
      <c r="E42" s="7" t="s">
        <v>19</v>
      </c>
      <c r="F42" s="7" t="s">
        <v>19</v>
      </c>
      <c r="G42" s="7" t="s">
        <v>19</v>
      </c>
      <c r="H42" s="7" t="s">
        <v>19</v>
      </c>
      <c r="I42" s="7" t="str">
        <f t="shared" si="2"/>
        <v>YES</v>
      </c>
    </row>
    <row r="43" spans="1:11" s="7" customFormat="1" x14ac:dyDescent="0.25">
      <c r="A43" s="7">
        <f>Achievements!A43</f>
        <v>42</v>
      </c>
      <c r="B43" s="7" t="str">
        <f>Achievements!C43</f>
        <v>Frosty Bones!</v>
      </c>
      <c r="C43" s="7" t="str">
        <f>Achievements!F43</f>
        <v>Defeat the Frosty Bones in the level 2 arena without taking damage or using a copy ability</v>
      </c>
      <c r="D43" s="7" t="s">
        <v>19</v>
      </c>
      <c r="E43" s="7" t="s">
        <v>19</v>
      </c>
      <c r="F43" s="7" t="s">
        <v>19</v>
      </c>
      <c r="G43" s="7" t="s">
        <v>19</v>
      </c>
      <c r="H43" s="7" t="s">
        <v>19</v>
      </c>
      <c r="I43" s="7" t="str">
        <f t="shared" si="2"/>
        <v>YES</v>
      </c>
    </row>
    <row r="44" spans="1:11" s="7" customFormat="1" x14ac:dyDescent="0.25">
      <c r="A44" s="7">
        <f>Achievements!A44</f>
        <v>43</v>
      </c>
      <c r="B44" s="7" t="str">
        <f>Achievements!C44</f>
        <v>Waiu!</v>
      </c>
      <c r="C44" s="7" t="str">
        <f>Achievements!F44</f>
        <v>Defeat the Waiu in the level 3 arena without taking damage or using a copy ability</v>
      </c>
      <c r="D44" s="7" t="s">
        <v>19</v>
      </c>
      <c r="E44" s="7" t="s">
        <v>19</v>
      </c>
      <c r="F44" s="7" t="s">
        <v>19</v>
      </c>
      <c r="G44" s="7" t="s">
        <v>19</v>
      </c>
      <c r="H44" s="7" t="s">
        <v>19</v>
      </c>
      <c r="I44" s="7" t="str">
        <f t="shared" si="2"/>
        <v>YES</v>
      </c>
    </row>
    <row r="45" spans="1:11" s="7" customFormat="1" x14ac:dyDescent="0.25">
      <c r="A45" s="7">
        <f>Achievements!A45</f>
        <v>44</v>
      </c>
      <c r="B45" s="7" t="str">
        <f>Achievements!C45</f>
        <v>Mother Moth!</v>
      </c>
      <c r="C45" s="7" t="str">
        <f>Achievements!F45</f>
        <v>Defeat the Mother Moth in the level 4 arena without taking damage or using a copy ability</v>
      </c>
      <c r="D45" s="7" t="s">
        <v>19</v>
      </c>
      <c r="E45" s="7" t="s">
        <v>19</v>
      </c>
      <c r="F45" s="7" t="s">
        <v>19</v>
      </c>
      <c r="G45" s="7" t="s">
        <v>19</v>
      </c>
      <c r="H45" s="7" t="s">
        <v>19</v>
      </c>
      <c r="I45" s="7" t="str">
        <f t="shared" si="2"/>
        <v>YES</v>
      </c>
    </row>
    <row r="46" spans="1:11" s="7" customFormat="1" x14ac:dyDescent="0.25">
      <c r="A46" s="7">
        <f>Achievements!A46</f>
        <v>45</v>
      </c>
      <c r="B46" s="7" t="str">
        <f>Achievements!C46</f>
        <v>Bonkerstein!</v>
      </c>
      <c r="C46" s="7" t="str">
        <f>Achievements!F46</f>
        <v>Defeat the Bonkerstein in the level 5 arena without taking damage or using a copy ability</v>
      </c>
      <c r="D46" s="7" t="s">
        <v>19</v>
      </c>
      <c r="E46" s="7" t="s">
        <v>19</v>
      </c>
      <c r="F46" s="7" t="s">
        <v>19</v>
      </c>
      <c r="G46" s="7" t="s">
        <v>19</v>
      </c>
      <c r="H46" s="7" t="s">
        <v>19</v>
      </c>
      <c r="I46" s="7" t="str">
        <f t="shared" si="2"/>
        <v>YES</v>
      </c>
    </row>
    <row r="47" spans="1:11" s="7" customFormat="1" x14ac:dyDescent="0.25">
      <c r="A47" s="7">
        <f>Achievements!A47</f>
        <v>46</v>
      </c>
      <c r="B47" s="7" t="str">
        <f>Achievements!C47</f>
        <v>Fire Liger!</v>
      </c>
      <c r="C47" s="7" t="str">
        <f>Achievements!F47</f>
        <v>Defeat the Fire Liger in the level 6 arena without taking damage or using a copy ability</v>
      </c>
      <c r="D47" s="7" t="s">
        <v>19</v>
      </c>
      <c r="E47" s="7" t="s">
        <v>19</v>
      </c>
      <c r="F47" s="7" t="s">
        <v>19</v>
      </c>
      <c r="G47" s="7" t="s">
        <v>19</v>
      </c>
      <c r="H47" s="7" t="s">
        <v>19</v>
      </c>
      <c r="I47" s="7" t="str">
        <f t="shared" si="2"/>
        <v>YES</v>
      </c>
      <c r="J47" s="7" t="s">
        <v>650</v>
      </c>
      <c r="K47" s="7" t="s">
        <v>649</v>
      </c>
    </row>
    <row r="48" spans="1:11" s="7" customFormat="1" x14ac:dyDescent="0.25">
      <c r="A48" s="7">
        <f>Achievements!A48</f>
        <v>47</v>
      </c>
      <c r="B48" s="7" t="str">
        <f>Achievements!C48</f>
        <v>Yggy Woods Jr.!</v>
      </c>
      <c r="C48" s="7" t="str">
        <f>Achievements!F48</f>
        <v>Defeat Yggy Woods Jr. without taking damage or using a copy ability</v>
      </c>
      <c r="D48" s="7" t="s">
        <v>19</v>
      </c>
      <c r="E48" s="7" t="s">
        <v>19</v>
      </c>
      <c r="F48" s="7" t="s">
        <v>19</v>
      </c>
      <c r="G48" s="7" t="s">
        <v>19</v>
      </c>
      <c r="H48" s="7" t="s">
        <v>19</v>
      </c>
      <c r="I48" s="7" t="str">
        <f t="shared" si="2"/>
        <v>YES</v>
      </c>
      <c r="J48" s="7" t="s">
        <v>19</v>
      </c>
      <c r="K48" s="7" t="s">
        <v>19</v>
      </c>
    </row>
    <row r="49" spans="1:11" s="7" customFormat="1" x14ac:dyDescent="0.25">
      <c r="A49" s="7">
        <f>Achievements!A49</f>
        <v>48</v>
      </c>
      <c r="B49" s="7" t="str">
        <f>Achievements!C49</f>
        <v>Adeleine!</v>
      </c>
      <c r="C49" s="7" t="str">
        <f>Achievements!F49</f>
        <v>Defeat Adeleine without taking damage or using a copy ability</v>
      </c>
      <c r="D49" s="7" t="s">
        <v>19</v>
      </c>
      <c r="E49" s="7" t="s">
        <v>19</v>
      </c>
      <c r="F49" s="7" t="s">
        <v>19</v>
      </c>
      <c r="G49" s="7" t="s">
        <v>19</v>
      </c>
      <c r="H49" s="7" t="s">
        <v>19</v>
      </c>
      <c r="I49" s="7" t="str">
        <f t="shared" si="2"/>
        <v>YES</v>
      </c>
      <c r="J49" s="7" t="s">
        <v>19</v>
      </c>
      <c r="K49" s="7" t="s">
        <v>19</v>
      </c>
    </row>
    <row r="50" spans="1:11" s="7" customFormat="1" x14ac:dyDescent="0.25">
      <c r="A50" s="7">
        <f>Achievements!A50</f>
        <v>49</v>
      </c>
      <c r="B50" s="7" t="str">
        <f>Achievements!C50</f>
        <v>Mr Bright &amp; Mr Shine!</v>
      </c>
      <c r="C50" s="7" t="str">
        <f>Achievements!F50</f>
        <v>Defeat Mr Bright &amp; Mr Shine without taking damage or using a copy ability</v>
      </c>
      <c r="D50" s="7" t="s">
        <v>19</v>
      </c>
      <c r="E50" s="7" t="s">
        <v>19</v>
      </c>
      <c r="F50" s="7" t="s">
        <v>19</v>
      </c>
      <c r="G50" s="7" t="s">
        <v>19</v>
      </c>
      <c r="H50" s="7" t="s">
        <v>19</v>
      </c>
      <c r="I50" s="7" t="str">
        <f t="shared" si="2"/>
        <v>YES</v>
      </c>
      <c r="J50" s="7" t="s">
        <v>19</v>
      </c>
      <c r="K50" s="7" t="s">
        <v>19</v>
      </c>
    </row>
    <row r="51" spans="1:11" s="7" customFormat="1" x14ac:dyDescent="0.25">
      <c r="A51" s="7">
        <f>Achievements!A51</f>
        <v>50</v>
      </c>
      <c r="B51" s="7" t="str">
        <f>Achievements!C51</f>
        <v>Kracko's Revenge!</v>
      </c>
      <c r="C51" s="7" t="str">
        <f>Achievements!F51</f>
        <v>Defeat Kracko without taking damage or using a copy ability</v>
      </c>
      <c r="D51" s="7" t="s">
        <v>19</v>
      </c>
      <c r="E51" s="7" t="s">
        <v>19</v>
      </c>
      <c r="F51" s="7" t="s">
        <v>19</v>
      </c>
      <c r="G51" s="7" t="s">
        <v>19</v>
      </c>
      <c r="H51" s="7" t="s">
        <v>19</v>
      </c>
      <c r="I51" s="7" t="str">
        <f t="shared" si="2"/>
        <v>YES</v>
      </c>
      <c r="J51" s="7" t="s">
        <v>19</v>
      </c>
      <c r="K51" s="7" t="s">
        <v>19</v>
      </c>
    </row>
    <row r="52" spans="1:11" s="7" customFormat="1" x14ac:dyDescent="0.25">
      <c r="A52" s="7">
        <f>Achievements!A52</f>
        <v>51</v>
      </c>
      <c r="B52" s="7" t="str">
        <f>Achievements!C52</f>
        <v>Heavy Mole!</v>
      </c>
      <c r="C52" s="7" t="str">
        <f>Achievements!F52</f>
        <v>Defeat Heavy Mole without taking damage or using a copy ability</v>
      </c>
      <c r="D52" s="7" t="s">
        <v>19</v>
      </c>
      <c r="E52" s="7" t="s">
        <v>19</v>
      </c>
      <c r="F52" s="7" t="s">
        <v>19</v>
      </c>
      <c r="G52" s="7" t="s">
        <v>19</v>
      </c>
      <c r="H52" s="7" t="s">
        <v>19</v>
      </c>
      <c r="I52" s="7" t="str">
        <f t="shared" si="2"/>
        <v>YES</v>
      </c>
      <c r="J52" s="7" t="s">
        <v>19</v>
      </c>
      <c r="K52" s="7" t="s">
        <v>19</v>
      </c>
    </row>
    <row r="53" spans="1:11" s="7" customFormat="1" x14ac:dyDescent="0.25">
      <c r="A53" s="7">
        <f>Achievements!A53</f>
        <v>52</v>
      </c>
      <c r="B53" s="7" t="str">
        <f>Achievements!C53</f>
        <v>Tuxedo Meta Knight!</v>
      </c>
      <c r="C53" s="7" t="str">
        <f>Achievements!F53</f>
        <v>Defeat Tuxedo Knight without taking damage</v>
      </c>
      <c r="D53" s="7" t="s">
        <v>19</v>
      </c>
      <c r="E53" s="7" t="s">
        <v>19</v>
      </c>
      <c r="F53" s="7" t="s">
        <v>19</v>
      </c>
      <c r="G53" s="7" t="s">
        <v>19</v>
      </c>
      <c r="H53" s="7" t="s">
        <v>19</v>
      </c>
      <c r="I53" s="7" t="str">
        <f t="shared" si="2"/>
        <v>YES</v>
      </c>
      <c r="J53" s="7" t="s">
        <v>19</v>
      </c>
      <c r="K53" s="7" t="s">
        <v>19</v>
      </c>
    </row>
    <row r="54" spans="1:11" s="7" customFormat="1" x14ac:dyDescent="0.25">
      <c r="A54" s="7">
        <f>Achievements!A54</f>
        <v>53</v>
      </c>
      <c r="B54" s="7" t="str">
        <f>Achievements!C54</f>
        <v>Concerto Dedede!</v>
      </c>
      <c r="C54" s="7" t="str">
        <f>Achievements!F54</f>
        <v>Defeat King Dedede without taking damage or using a copy ability</v>
      </c>
      <c r="D54" s="7" t="s">
        <v>19</v>
      </c>
      <c r="E54" s="7" t="s">
        <v>19</v>
      </c>
      <c r="F54" s="7" t="s">
        <v>19</v>
      </c>
      <c r="G54" s="7" t="s">
        <v>19</v>
      </c>
      <c r="H54" s="7" t="s">
        <v>19</v>
      </c>
      <c r="I54" s="7" t="str">
        <f t="shared" si="2"/>
        <v>YES</v>
      </c>
      <c r="J54" s="7" t="s">
        <v>19</v>
      </c>
      <c r="K54" s="7" t="s">
        <v>19</v>
      </c>
    </row>
    <row r="55" spans="1:11" s="7" customFormat="1" x14ac:dyDescent="0.25">
      <c r="A55" s="7">
        <f>Achievements!A55</f>
        <v>54</v>
      </c>
      <c r="B55" s="7" t="str">
        <f>Achievements!C55</f>
        <v>Nightmare Angel!</v>
      </c>
      <c r="C55" s="7" t="str">
        <f>Achievements!F55</f>
        <v>Defeat the Nightmare Angel without taking damage</v>
      </c>
      <c r="D55" s="7" t="s">
        <v>19</v>
      </c>
      <c r="E55" s="7" t="s">
        <v>19</v>
      </c>
      <c r="F55" s="7" t="s">
        <v>19</v>
      </c>
      <c r="G55" s="7" t="s">
        <v>19</v>
      </c>
      <c r="H55" s="7" t="s">
        <v>19</v>
      </c>
      <c r="I55" s="7" t="str">
        <f t="shared" si="2"/>
        <v>YES</v>
      </c>
      <c r="J55" s="7" t="s">
        <v>19</v>
      </c>
      <c r="K55" s="7" t="s">
        <v>19</v>
      </c>
    </row>
    <row r="56" spans="1:11" s="7" customFormat="1" x14ac:dyDescent="0.25">
      <c r="A56" s="7">
        <f>Achievements!A56</f>
        <v>55</v>
      </c>
      <c r="B56" s="7" t="str">
        <f>Achievements!C56</f>
        <v>Nightmare Reaper!</v>
      </c>
      <c r="C56" s="7" t="str">
        <f>Achievements!F56</f>
        <v>Defeat the Nightmare Reaper without taking damage</v>
      </c>
      <c r="D56" s="7" t="s">
        <v>19</v>
      </c>
      <c r="E56" s="7" t="s">
        <v>19</v>
      </c>
      <c r="F56" s="7" t="s">
        <v>19</v>
      </c>
      <c r="G56" s="7" t="s">
        <v>19</v>
      </c>
      <c r="H56" s="7" t="s">
        <v>19</v>
      </c>
      <c r="I56" s="7" t="str">
        <f t="shared" si="2"/>
        <v>YES</v>
      </c>
      <c r="J56" s="7" t="s">
        <v>19</v>
      </c>
      <c r="K56" s="7" t="s">
        <v>19</v>
      </c>
    </row>
    <row r="57" spans="1:11" s="7" customFormat="1" x14ac:dyDescent="0.25">
      <c r="A57" s="7">
        <f>Achievements!A57</f>
        <v>56</v>
      </c>
      <c r="B57" s="7" t="str">
        <f>Achievements!C57</f>
        <v>The Real Boss!</v>
      </c>
      <c r="C57" s="7" t="str">
        <f>Achievements!F57</f>
        <v>Defeat the all the bosses consecutively in V.S. Boss mode</v>
      </c>
      <c r="D57" s="7" t="s">
        <v>19</v>
      </c>
      <c r="E57" s="7" t="s">
        <v>19</v>
      </c>
      <c r="F57" s="7" t="s">
        <v>19</v>
      </c>
      <c r="G57" s="7" t="s">
        <v>19</v>
      </c>
      <c r="H57" s="7" t="s">
        <v>19</v>
      </c>
      <c r="I57" s="7" t="str">
        <f t="shared" si="2"/>
        <v>YES</v>
      </c>
    </row>
    <row r="58" spans="1:11" s="7" customFormat="1" x14ac:dyDescent="0.25">
      <c r="A58" s="7">
        <f>Achievements!A58</f>
        <v>57</v>
      </c>
      <c r="B58" s="7" t="str">
        <f>Achievements!C58</f>
        <v>Bonus Chance!</v>
      </c>
      <c r="C58" s="7" t="str">
        <f>Achievements!F58</f>
        <v>Collect the 1up bonus at the end of any level</v>
      </c>
      <c r="D58" s="7" t="s">
        <v>19</v>
      </c>
      <c r="E58" s="7" t="s">
        <v>19</v>
      </c>
      <c r="F58" s="7" t="s">
        <v>19</v>
      </c>
      <c r="G58" s="7" t="s">
        <v>19</v>
      </c>
      <c r="H58" s="7" t="s">
        <v>19</v>
      </c>
      <c r="I58" s="7" t="str">
        <f t="shared" si="2"/>
        <v>YES</v>
      </c>
    </row>
    <row r="59" spans="1:11" s="7" customFormat="1" x14ac:dyDescent="0.25">
      <c r="A59" s="7">
        <f>Achievements!A59</f>
        <v>58</v>
      </c>
      <c r="B59" s="7" t="str">
        <f>Achievements!C59</f>
        <v>Crane Fever!</v>
      </c>
      <c r="C59" s="7" t="str">
        <f>Achievements!F59</f>
        <v>Get 4 lives in the crane fever bonus on any difficulty</v>
      </c>
      <c r="D59" s="7" t="s">
        <v>19</v>
      </c>
      <c r="E59" s="7" t="s">
        <v>19</v>
      </c>
      <c r="F59" s="7" t="s">
        <v>19</v>
      </c>
      <c r="G59" s="7" t="s">
        <v>19</v>
      </c>
      <c r="H59" s="7" t="s">
        <v>19</v>
      </c>
      <c r="I59" s="7" t="str">
        <f t="shared" si="2"/>
        <v>YES</v>
      </c>
    </row>
    <row r="60" spans="1:11" s="7" customFormat="1" x14ac:dyDescent="0.25">
      <c r="A60" s="7">
        <f>Achievements!A60</f>
        <v>59</v>
      </c>
      <c r="B60" s="7" t="str">
        <f>Achievements!C60</f>
        <v>Egg Catcher!</v>
      </c>
      <c r="C60" s="7" t="str">
        <f>Achievements!F60</f>
        <v>Get 3 lives in the egg catcher bonus on any difficulty</v>
      </c>
      <c r="D60" s="7" t="s">
        <v>19</v>
      </c>
      <c r="E60" s="7" t="s">
        <v>19</v>
      </c>
      <c r="F60" s="7" t="s">
        <v>19</v>
      </c>
      <c r="G60" s="7" t="s">
        <v>19</v>
      </c>
      <c r="H60" s="7" t="s">
        <v>19</v>
      </c>
      <c r="I60" s="7" t="str">
        <f t="shared" si="2"/>
        <v>YES</v>
      </c>
    </row>
    <row r="61" spans="1:11" s="7" customFormat="1" x14ac:dyDescent="0.25">
      <c r="A61" s="7">
        <f>Achievements!A61</f>
        <v>60</v>
      </c>
      <c r="B61" s="7" t="str">
        <f>Achievements!C61</f>
        <v>Quick Draw!</v>
      </c>
      <c r="C61" s="7" t="str">
        <f>Achievements!F61</f>
        <v>Get 3 lives in the quick draw bonus on any difficulty</v>
      </c>
      <c r="D61" s="7" t="s">
        <v>19</v>
      </c>
      <c r="E61" s="7" t="s">
        <v>19</v>
      </c>
      <c r="F61" s="7" t="s">
        <v>19</v>
      </c>
      <c r="G61" s="7" t="s">
        <v>19</v>
      </c>
      <c r="H61" s="7" t="s">
        <v>19</v>
      </c>
      <c r="I61" s="7" t="str">
        <f t="shared" si="2"/>
        <v>YES</v>
      </c>
    </row>
    <row r="62" spans="1:11" s="7" customFormat="1" x14ac:dyDescent="0.25">
      <c r="A62" s="7">
        <f>Achievements!A62</f>
        <v>61</v>
      </c>
      <c r="B62" s="7" t="str">
        <f>Achievements!C62</f>
        <v>Pumpkin Path Challenge!</v>
      </c>
      <c r="C62" s="7" t="str">
        <f>Achievements!F62</f>
        <v>Start with or obtain the beam ability in the first section of 1-1 and complete the level without losing it</v>
      </c>
      <c r="D62" s="7" t="s">
        <v>19</v>
      </c>
      <c r="E62" s="7" t="s">
        <v>19</v>
      </c>
      <c r="F62" s="7" t="s">
        <v>19</v>
      </c>
      <c r="G62" s="7" t="s">
        <v>19</v>
      </c>
      <c r="H62" s="7" t="s">
        <v>19</v>
      </c>
      <c r="I62" s="7" t="str">
        <f t="shared" si="2"/>
        <v>YES</v>
      </c>
    </row>
    <row r="63" spans="1:11" s="7" customFormat="1" x14ac:dyDescent="0.25">
      <c r="A63" s="7">
        <f>Achievements!A63</f>
        <v>62</v>
      </c>
      <c r="B63" s="7" t="str">
        <f>Achievements!C63</f>
        <v>Summit Scares Diet!</v>
      </c>
      <c r="C63" s="7" t="str">
        <f>Achievements!F63</f>
        <v>Complete level 1-2 without swallowing anything or using copy abilities except on the first screen (items are allowed since they are nutritious)</v>
      </c>
      <c r="D63" s="7" t="s">
        <v>19</v>
      </c>
      <c r="E63" s="7" t="s">
        <v>19</v>
      </c>
      <c r="F63" s="7" t="s">
        <v>19</v>
      </c>
      <c r="G63" s="7" t="s">
        <v>19</v>
      </c>
      <c r="H63" s="7" t="s">
        <v>19</v>
      </c>
      <c r="I63" s="7" t="str">
        <f t="shared" si="2"/>
        <v>YES</v>
      </c>
    </row>
    <row r="64" spans="1:11" s="7" customFormat="1" x14ac:dyDescent="0.25">
      <c r="A64" s="7">
        <f>Achievements!A64</f>
        <v>63</v>
      </c>
      <c r="B64" s="7" t="str">
        <f>Achievements!C64</f>
        <v>Haunted Hills Race!</v>
      </c>
      <c r="C64" s="7" t="str">
        <f>Achievements!F64</f>
        <v>Complete level 1-3 in 80 seconds or less using only the burning and normal copy abilities</v>
      </c>
      <c r="D64" s="7" t="s">
        <v>19</v>
      </c>
      <c r="E64" s="7" t="s">
        <v>19</v>
      </c>
      <c r="F64" s="7" t="s">
        <v>19</v>
      </c>
      <c r="G64" s="7" t="s">
        <v>19</v>
      </c>
      <c r="H64" s="7" t="s">
        <v>19</v>
      </c>
      <c r="I64" s="7" t="str">
        <f t="shared" si="2"/>
        <v>YES</v>
      </c>
    </row>
    <row r="65" spans="1:9" s="7" customFormat="1" x14ac:dyDescent="0.25">
      <c r="A65" s="7">
        <f>Achievements!A65</f>
        <v>64</v>
      </c>
      <c r="B65" s="7" t="str">
        <f>Achievements!C65</f>
        <v>Fright Forest Challenge!</v>
      </c>
      <c r="C65" s="7" t="str">
        <f>Achievements!F65</f>
        <v>Start with or obtain the needle ability in the first section of 1-4 and complete the level without losing it</v>
      </c>
      <c r="D65" s="7" t="s">
        <v>19</v>
      </c>
      <c r="E65" s="7" t="s">
        <v>19</v>
      </c>
      <c r="F65" s="7" t="s">
        <v>19</v>
      </c>
      <c r="G65" s="7" t="s">
        <v>19</v>
      </c>
      <c r="H65" s="7" t="s">
        <v>19</v>
      </c>
      <c r="I65" s="7" t="str">
        <f t="shared" si="2"/>
        <v>YES</v>
      </c>
    </row>
    <row r="66" spans="1:9" s="7" customFormat="1" x14ac:dyDescent="0.25">
      <c r="A66" s="7">
        <f>Achievements!A66</f>
        <v>65</v>
      </c>
      <c r="B66" s="7" t="str">
        <f>Achievements!C66</f>
        <v>Skeleton Shore Diet!</v>
      </c>
      <c r="C66" s="7" t="str">
        <f>Achievements!F66</f>
        <v>Complete level 2-1 without swallowing anything or using copy abilities except on the first screen (items are allowed since they are nutritious)</v>
      </c>
      <c r="D66" s="7" t="s">
        <v>19</v>
      </c>
      <c r="E66" s="7" t="s">
        <v>19</v>
      </c>
      <c r="F66" s="7" t="s">
        <v>19</v>
      </c>
      <c r="G66" s="7" t="s">
        <v>19</v>
      </c>
      <c r="H66" s="7" t="s">
        <v>19</v>
      </c>
      <c r="I66" s="7" t="str">
        <f t="shared" si="2"/>
        <v>YES</v>
      </c>
    </row>
    <row r="67" spans="1:9" s="7" customFormat="1" x14ac:dyDescent="0.25">
      <c r="A67" s="7">
        <f>Achievements!A67</f>
        <v>66</v>
      </c>
      <c r="B67" s="7" t="str">
        <f>Achievements!C67</f>
        <v>Morning Mangrove Race!</v>
      </c>
      <c r="C67" s="7" t="str">
        <f>Achievements!F67</f>
        <v>Complete level 2-2 in 120 seconds or less using only the wheel and normal copy abilities</v>
      </c>
      <c r="D67" s="7" t="s">
        <v>19</v>
      </c>
      <c r="E67" s="7" t="s">
        <v>19</v>
      </c>
      <c r="F67" s="7" t="s">
        <v>19</v>
      </c>
      <c r="G67" s="7" t="s">
        <v>19</v>
      </c>
      <c r="H67" s="7" t="s">
        <v>19</v>
      </c>
      <c r="I67" s="7" t="str">
        <f t="shared" si="2"/>
        <v>YES</v>
      </c>
    </row>
    <row r="68" spans="1:9" s="7" customFormat="1" x14ac:dyDescent="0.25">
      <c r="A68" s="7">
        <f>Achievements!A68</f>
        <v>67</v>
      </c>
      <c r="B68" s="7" t="str">
        <f>Achievements!C68</f>
        <v>Sand Sea Challenge!</v>
      </c>
      <c r="C68" s="7" t="str">
        <f>Achievements!F68</f>
        <v>Start with the laser ability in 2-3 and complete the level without losing it</v>
      </c>
      <c r="D68" s="7" t="s">
        <v>19</v>
      </c>
      <c r="E68" s="7" t="s">
        <v>19</v>
      </c>
      <c r="F68" s="7" t="s">
        <v>19</v>
      </c>
      <c r="G68" s="7" t="s">
        <v>19</v>
      </c>
      <c r="H68" s="7" t="s">
        <v>19</v>
      </c>
      <c r="I68" s="7" t="str">
        <f t="shared" si="2"/>
        <v>YES</v>
      </c>
    </row>
    <row r="69" spans="1:9" s="7" customFormat="1" x14ac:dyDescent="0.25">
      <c r="A69" s="7">
        <f>Achievements!A69</f>
        <v>68</v>
      </c>
      <c r="B69" s="7" t="str">
        <f>Achievements!C69</f>
        <v>West Wilderness Challenge!</v>
      </c>
      <c r="C69" s="7" t="str">
        <f>Achievements!F69</f>
        <v>Start with or obtain the cutter ability in the first section of 2-4 and complete the level without losing it</v>
      </c>
      <c r="D69" s="7" t="s">
        <v>19</v>
      </c>
      <c r="E69" s="7" t="s">
        <v>19</v>
      </c>
      <c r="F69" s="7" t="s">
        <v>19</v>
      </c>
      <c r="G69" s="7" t="s">
        <v>19</v>
      </c>
      <c r="H69" s="7" t="s">
        <v>19</v>
      </c>
      <c r="I69" s="7" t="str">
        <f t="shared" si="2"/>
        <v>YES</v>
      </c>
    </row>
    <row r="70" spans="1:9" s="7" customFormat="1" x14ac:dyDescent="0.25">
      <c r="A70" s="7">
        <f>Achievements!A70</f>
        <v>69</v>
      </c>
      <c r="B70" s="7" t="str">
        <f>Achievements!C70</f>
        <v>Colorful Caverns Challenge!</v>
      </c>
      <c r="C70" s="7" t="str">
        <f>Achievements!F70</f>
        <v>Start with or obtain the sword ability in the first section of 2-5 and complete the level without losing it</v>
      </c>
      <c r="D70" s="7" t="s">
        <v>19</v>
      </c>
      <c r="E70" s="7" t="s">
        <v>19</v>
      </c>
      <c r="F70" s="7" t="s">
        <v>19</v>
      </c>
      <c r="G70" s="7" t="s">
        <v>19</v>
      </c>
      <c r="H70" s="7" t="s">
        <v>19</v>
      </c>
      <c r="I70" s="7" t="str">
        <f t="shared" si="2"/>
        <v>YES</v>
      </c>
    </row>
    <row r="71" spans="1:9" s="7" customFormat="1" x14ac:dyDescent="0.25">
      <c r="A71" s="7">
        <f>Achievements!A71</f>
        <v>70</v>
      </c>
      <c r="B71" s="7" t="str">
        <f>Achievements!C71</f>
        <v>Menacing Mansion Challenge!</v>
      </c>
      <c r="C71" s="7" t="str">
        <f>Achievements!F71</f>
        <v>Start with or obtain the parasol ability in the first section of 3-1 and complete the level without losing it</v>
      </c>
      <c r="D71" s="7" t="s">
        <v>19</v>
      </c>
      <c r="F71" s="7" t="s">
        <v>19</v>
      </c>
      <c r="G71" s="7" t="s">
        <v>19</v>
      </c>
      <c r="I71" s="7" t="str">
        <f t="shared" si="2"/>
        <v>NO</v>
      </c>
    </row>
    <row r="72" spans="1:9" s="7" customFormat="1" x14ac:dyDescent="0.25">
      <c r="A72" s="7">
        <f>Achievements!A72</f>
        <v>71</v>
      </c>
      <c r="B72" s="7" t="str">
        <f>Achievements!C72</f>
        <v>Aquarium Altars Challenge!</v>
      </c>
      <c r="C72" s="7" t="str">
        <f>Achievements!F72</f>
        <v>Start with or obtain the fire ability in the first section of 3-2 and complete the level without losing it</v>
      </c>
      <c r="D72" s="7" t="s">
        <v>19</v>
      </c>
      <c r="F72" s="7" t="s">
        <v>19</v>
      </c>
      <c r="G72" s="7" t="s">
        <v>19</v>
      </c>
      <c r="I72" s="7" t="str">
        <f t="shared" si="2"/>
        <v>NO</v>
      </c>
    </row>
    <row r="73" spans="1:9" s="7" customFormat="1" x14ac:dyDescent="0.25">
      <c r="A73" s="7">
        <f>Achievements!A73</f>
        <v>72</v>
      </c>
      <c r="B73" s="7" t="str">
        <f>Achievements!C73</f>
        <v>Phantom Pyramid Diet!</v>
      </c>
      <c r="C73" s="7" t="str">
        <f>Achievements!F73</f>
        <v>Complete level 3-3 without swallowing anything or using copy abilities except on the first screen (items are allowed since they are nutritious)</v>
      </c>
      <c r="D73" s="7" t="s">
        <v>19</v>
      </c>
      <c r="F73" s="7" t="s">
        <v>19</v>
      </c>
      <c r="G73" s="7" t="s">
        <v>19</v>
      </c>
      <c r="I73" s="7" t="str">
        <f t="shared" si="2"/>
        <v>NO</v>
      </c>
    </row>
    <row r="74" spans="1:9" s="7" customFormat="1" x14ac:dyDescent="0.25">
      <c r="A74" s="7">
        <f>Achievements!A74</f>
        <v>73</v>
      </c>
      <c r="B74" s="7" t="str">
        <f>Achievements!C74</f>
        <v>Flying Fortress Challenge!</v>
      </c>
      <c r="C74" s="7" t="str">
        <f>Achievements!F74</f>
        <v>Start with the throw ability in 3-4 and complete the level without losing it</v>
      </c>
      <c r="D74" s="7" t="s">
        <v>19</v>
      </c>
      <c r="F74" s="7" t="s">
        <v>19</v>
      </c>
      <c r="G74" s="7" t="s">
        <v>19</v>
      </c>
      <c r="I74" s="7" t="str">
        <f t="shared" si="2"/>
        <v>NO</v>
      </c>
    </row>
    <row r="75" spans="1:9" s="7" customFormat="1" x14ac:dyDescent="0.25">
      <c r="A75" s="7">
        <f>Achievements!A75</f>
        <v>74</v>
      </c>
      <c r="B75" s="7" t="str">
        <f>Achievements!C75</f>
        <v>Moonlight Memories Challenge!</v>
      </c>
      <c r="C75" s="7" t="str">
        <f>Achievements!F75</f>
        <v>Start with or obtain the spark ability in the second section of 3-5 and complete the level without losing it</v>
      </c>
      <c r="D75" s="7" t="s">
        <v>19</v>
      </c>
      <c r="F75" s="7" t="s">
        <v>19</v>
      </c>
      <c r="G75" s="7" t="s">
        <v>19</v>
      </c>
      <c r="I75" s="7" t="str">
        <f t="shared" si="2"/>
        <v>NO</v>
      </c>
    </row>
    <row r="76" spans="1:9" s="7" customFormat="1" x14ac:dyDescent="0.25">
      <c r="A76" s="7">
        <f>Achievements!A76</f>
        <v>75</v>
      </c>
      <c r="B76" s="7" t="str">
        <f>Achievements!C76</f>
        <v>Titanic Tower Race!</v>
      </c>
      <c r="C76" s="7" t="str">
        <f>Achievements!F76</f>
        <v>Complete level 3-6 in 300 seconds or less using only the burning and normal copy abilities</v>
      </c>
      <c r="D76" s="7" t="s">
        <v>19</v>
      </c>
      <c r="F76" s="7" t="s">
        <v>19</v>
      </c>
      <c r="G76" s="7" t="s">
        <v>19</v>
      </c>
      <c r="I76" s="7" t="str">
        <f t="shared" si="2"/>
        <v>NO</v>
      </c>
    </row>
    <row r="77" spans="1:9" s="7" customFormat="1" x14ac:dyDescent="0.25">
      <c r="A77" s="7">
        <f>Achievements!A77</f>
        <v>76</v>
      </c>
      <c r="B77" s="7" t="str">
        <f>Achievements!C77</f>
        <v>Tombstone Tunnel Race!</v>
      </c>
      <c r="C77" s="7" t="str">
        <f>Achievements!F77</f>
        <v>Complete level 4-1 in 300 seconds or less using only the tornado and normal copy abilities</v>
      </c>
      <c r="D77" s="7" t="s">
        <v>19</v>
      </c>
      <c r="F77" s="7" t="s">
        <v>19</v>
      </c>
      <c r="G77" s="7" t="s">
        <v>19</v>
      </c>
      <c r="I77" s="7" t="str">
        <f t="shared" si="2"/>
        <v>NO</v>
      </c>
    </row>
    <row r="78" spans="1:9" s="7" customFormat="1" x14ac:dyDescent="0.25">
      <c r="A78" s="7">
        <f>Achievements!A78</f>
        <v>77</v>
      </c>
      <c r="B78" s="7" t="str">
        <f>Achievements!C78</f>
        <v>Silent Streets Challenge!</v>
      </c>
      <c r="C78" s="7" t="str">
        <f>Achievements!F78</f>
        <v>Start with or obtain the ball ability in the third section of 4-2 and complete the level without losing it</v>
      </c>
      <c r="D78" s="7" t="s">
        <v>19</v>
      </c>
      <c r="F78" s="7" t="s">
        <v>19</v>
      </c>
      <c r="G78" s="7" t="s">
        <v>19</v>
      </c>
      <c r="I78" s="7" t="str">
        <f t="shared" si="2"/>
        <v>NO</v>
      </c>
    </row>
    <row r="79" spans="1:9" s="7" customFormat="1" x14ac:dyDescent="0.25">
      <c r="A79" s="7">
        <f>Achievements!A79</f>
        <v>78</v>
      </c>
      <c r="B79" s="7" t="str">
        <f>Achievements!C79</f>
        <v>Creepy Circus Challenge!</v>
      </c>
      <c r="C79" s="7" t="str">
        <f>Achievements!F79</f>
        <v>Start with or obtain the parasol ability in the second section of 4-3 and complete the level without losing it</v>
      </c>
      <c r="D79" s="7" t="s">
        <v>19</v>
      </c>
      <c r="F79" s="7" t="s">
        <v>19</v>
      </c>
      <c r="G79" s="7" t="s">
        <v>19</v>
      </c>
      <c r="I79" s="7" t="str">
        <f t="shared" si="2"/>
        <v>NO</v>
      </c>
    </row>
    <row r="80" spans="1:9" s="7" customFormat="1" x14ac:dyDescent="0.25">
      <c r="A80" s="7">
        <f>Achievements!A80</f>
        <v>79</v>
      </c>
      <c r="B80" s="7" t="str">
        <f>Achievements!C80</f>
        <v>Stardust Subway Challenge!</v>
      </c>
      <c r="C80" s="7" t="str">
        <f>Achievements!F80</f>
        <v>Start with or obtain the sword ability in the first section of 4-4 and complete the level without losing it</v>
      </c>
      <c r="D80" s="7" t="s">
        <v>19</v>
      </c>
      <c r="F80" s="7" t="s">
        <v>19</v>
      </c>
      <c r="G80" s="7" t="s">
        <v>19</v>
      </c>
      <c r="I80" s="7" t="str">
        <f t="shared" si="2"/>
        <v>NO</v>
      </c>
    </row>
    <row r="81" spans="1:9" s="7" customFormat="1" x14ac:dyDescent="0.25">
      <c r="A81" s="7">
        <f>Achievements!A81</f>
        <v>80</v>
      </c>
      <c r="B81" s="7" t="str">
        <f>Achievements!C81</f>
        <v>Macabre Museums Challenge!</v>
      </c>
      <c r="C81" s="7" t="str">
        <f>Achievements!F81</f>
        <v>Start with the wrestle ability in 4-5 and complete the level without losing it</v>
      </c>
      <c r="D81" s="7" t="s">
        <v>19</v>
      </c>
      <c r="F81" s="7" t="s">
        <v>19</v>
      </c>
      <c r="G81" s="7" t="s">
        <v>19</v>
      </c>
      <c r="I81" s="7" t="str">
        <f t="shared" si="2"/>
        <v>NO</v>
      </c>
    </row>
    <row r="82" spans="1:9" s="7" customFormat="1" x14ac:dyDescent="0.25">
      <c r="A82" s="7">
        <f>Achievements!A82</f>
        <v>81</v>
      </c>
      <c r="B82" s="7" t="str">
        <f>Achievements!C82</f>
        <v>Fun Factory Diet!</v>
      </c>
      <c r="C82" s="7" t="str">
        <f>Achievements!F82</f>
        <v>Complete level 4-6 without swallowing anything or using copy abilities except on the first screen (items are allowed since they are nutritious)</v>
      </c>
      <c r="D82" s="7" t="s">
        <v>19</v>
      </c>
      <c r="F82" s="7" t="s">
        <v>19</v>
      </c>
      <c r="G82" s="7" t="s">
        <v>19</v>
      </c>
      <c r="I82" s="7" t="str">
        <f t="shared" ref="I82:I117" si="3">IF(COUNTIF(D82:H82,"X")=5,"YES","NO")</f>
        <v>NO</v>
      </c>
    </row>
    <row r="83" spans="1:9" s="7" customFormat="1" x14ac:dyDescent="0.25">
      <c r="A83" s="7">
        <f>Achievements!A83</f>
        <v>82</v>
      </c>
      <c r="B83" s="7" t="str">
        <f>Achievements!C83</f>
        <v>Shivery Sierra Challenge!</v>
      </c>
      <c r="C83" s="7" t="str">
        <f>Achievements!F83</f>
        <v>Start with or obtain the beam ability in the first section of 5-1 and complete the level without losing it</v>
      </c>
      <c r="D83" s="7" t="s">
        <v>19</v>
      </c>
      <c r="F83" s="7" t="s">
        <v>19</v>
      </c>
      <c r="G83" s="7" t="s">
        <v>19</v>
      </c>
      <c r="I83" s="7" t="str">
        <f t="shared" si="3"/>
        <v>NO</v>
      </c>
    </row>
    <row r="84" spans="1:9" s="7" customFormat="1" x14ac:dyDescent="0.25">
      <c r="A84" s="7">
        <f>Achievements!A84</f>
        <v>83</v>
      </c>
      <c r="B84" s="7" t="str">
        <f>Achievements!C84</f>
        <v>Magma Mountain Diet!</v>
      </c>
      <c r="C84" s="7" t="str">
        <f>Achievements!F84</f>
        <v>Complete level 5-2 without swallowing anything or using copy abilities except on the first screen (items are allowed since they are nutritious)</v>
      </c>
      <c r="D84" s="7" t="s">
        <v>19</v>
      </c>
      <c r="F84" s="7" t="s">
        <v>19</v>
      </c>
      <c r="G84" s="7" t="s">
        <v>19</v>
      </c>
      <c r="I84" s="7" t="str">
        <f t="shared" si="3"/>
        <v>NO</v>
      </c>
    </row>
    <row r="85" spans="1:9" s="7" customFormat="1" x14ac:dyDescent="0.25">
      <c r="A85" s="7">
        <f>Achievements!A85</f>
        <v>84</v>
      </c>
      <c r="B85" s="7" t="str">
        <f>Achievements!C85</f>
        <v>Woodland Warriors Race!</v>
      </c>
      <c r="C85" s="7" t="str">
        <f>Achievements!F85</f>
        <v>Complete level 5-3 in 300 seconds or less using only the tornado and normal copy abilities</v>
      </c>
      <c r="D85" s="7" t="s">
        <v>19</v>
      </c>
      <c r="F85" s="7" t="s">
        <v>19</v>
      </c>
      <c r="G85" s="7" t="s">
        <v>19</v>
      </c>
      <c r="I85" s="7" t="str">
        <f t="shared" si="3"/>
        <v>NO</v>
      </c>
    </row>
    <row r="86" spans="1:9" s="7" customFormat="1" x14ac:dyDescent="0.25">
      <c r="A86" s="7">
        <f>Achievements!A86</f>
        <v>85</v>
      </c>
      <c r="B86" s="7" t="str">
        <f>Achievements!C86</f>
        <v>Tempest Traintracks Challenge!</v>
      </c>
      <c r="C86" s="7" t="str">
        <f>Achievements!F86</f>
        <v>Start with or obtain the spark ability in the first section of 5-4 and complete the level without losing it</v>
      </c>
      <c r="D86" s="7" t="s">
        <v>19</v>
      </c>
      <c r="F86" s="7" t="s">
        <v>19</v>
      </c>
      <c r="G86" s="7" t="s">
        <v>19</v>
      </c>
      <c r="I86" s="7" t="str">
        <f t="shared" si="3"/>
        <v>NO</v>
      </c>
    </row>
    <row r="87" spans="1:9" s="7" customFormat="1" x14ac:dyDescent="0.25">
      <c r="A87" s="7">
        <f>Achievements!A87</f>
        <v>86</v>
      </c>
      <c r="B87" s="7" t="str">
        <f>Achievements!C87</f>
        <v>Desolate Division Challenge!</v>
      </c>
      <c r="C87" s="7" t="str">
        <f>Achievements!F87</f>
        <v>Start with or obtain the U.F.O. ability in the first section of 5-5 and complete the level without losing it</v>
      </c>
      <c r="D87" s="7" t="s">
        <v>19</v>
      </c>
      <c r="F87" s="7" t="s">
        <v>19</v>
      </c>
      <c r="G87" s="7" t="s">
        <v>19</v>
      </c>
      <c r="I87" s="7" t="str">
        <f t="shared" si="3"/>
        <v>NO</v>
      </c>
    </row>
    <row r="88" spans="1:9" s="7" customFormat="1" x14ac:dyDescent="0.25">
      <c r="A88" s="7">
        <f>Achievements!A88</f>
        <v>87</v>
      </c>
      <c r="B88" s="7" t="str">
        <f>Achievements!C88</f>
        <v>Fear Factory Challenge!</v>
      </c>
      <c r="C88" s="7" t="str">
        <f>Achievements!F88</f>
        <v>Start with or obtain the freeze ability in the first section of 5-6 and complete the level without losing it</v>
      </c>
      <c r="D88" s="7" t="s">
        <v>19</v>
      </c>
      <c r="F88" s="7" t="s">
        <v>19</v>
      </c>
      <c r="G88" s="7" t="s">
        <v>19</v>
      </c>
      <c r="I88" s="7" t="str">
        <f t="shared" si="3"/>
        <v>NO</v>
      </c>
    </row>
    <row r="89" spans="1:9" s="7" customFormat="1" x14ac:dyDescent="0.25">
      <c r="A89" s="7">
        <f>Achievements!A89</f>
        <v>88</v>
      </c>
      <c r="B89" s="7" t="str">
        <f>Achievements!C89</f>
        <v>Haunted Harbor Challenge!</v>
      </c>
      <c r="C89" s="7" t="str">
        <f>Achievements!F89</f>
        <v>Start with or obtain the hammer ability in the second section of 6-1 and complete the level without losing it</v>
      </c>
      <c r="D89" s="7" t="s">
        <v>19</v>
      </c>
      <c r="F89" s="7" t="s">
        <v>19</v>
      </c>
      <c r="G89" s="7" t="s">
        <v>19</v>
      </c>
      <c r="I89" s="7" t="str">
        <f t="shared" si="3"/>
        <v>NO</v>
      </c>
    </row>
    <row r="90" spans="1:9" s="7" customFormat="1" x14ac:dyDescent="0.25">
      <c r="A90" s="7">
        <f>Achievements!A90</f>
        <v>89</v>
      </c>
      <c r="B90" s="7" t="str">
        <f>Achievements!C90</f>
        <v>Olympic Odyssey Diet!</v>
      </c>
      <c r="C90" s="7" t="str">
        <f>Achievements!F90</f>
        <v>Complete level 6-2 without swallowing anything or using copy abilities except on the first screen (items are allowed since they are nutritious)</v>
      </c>
      <c r="D90" s="7" t="s">
        <v>19</v>
      </c>
      <c r="F90" s="7" t="s">
        <v>19</v>
      </c>
      <c r="G90" s="7" t="s">
        <v>19</v>
      </c>
      <c r="I90" s="7" t="str">
        <f t="shared" si="3"/>
        <v>NO</v>
      </c>
    </row>
    <row r="91" spans="1:9" s="7" customFormat="1" x14ac:dyDescent="0.25">
      <c r="A91" s="7">
        <f>Achievements!A91</f>
        <v>90</v>
      </c>
      <c r="B91" s="7" t="str">
        <f>Achievements!C91</f>
        <v>Sunken Shipwreck Challenge!</v>
      </c>
      <c r="C91" s="7" t="str">
        <f>Achievements!F91</f>
        <v>Start with or obtain the rock ability in the first section of 6-3 and complete the level without losing it</v>
      </c>
      <c r="D91" s="7" t="s">
        <v>19</v>
      </c>
      <c r="F91" s="7" t="s">
        <v>19</v>
      </c>
      <c r="G91" s="7" t="s">
        <v>19</v>
      </c>
      <c r="I91" s="7" t="str">
        <f t="shared" si="3"/>
        <v>NO</v>
      </c>
    </row>
    <row r="92" spans="1:9" s="7" customFormat="1" x14ac:dyDescent="0.25">
      <c r="A92" s="7">
        <f>Achievements!A92</f>
        <v>91</v>
      </c>
      <c r="B92" s="7" t="str">
        <f>Achievements!C92</f>
        <v>Eerie Ends Challenge!</v>
      </c>
      <c r="C92" s="7" t="str">
        <f>Achievements!F92</f>
        <v>Start with or obtain the ice ability in the first section of 6-4 and complete the level without losing it</v>
      </c>
      <c r="D92" s="7" t="s">
        <v>19</v>
      </c>
      <c r="F92" s="7" t="s">
        <v>19</v>
      </c>
      <c r="G92" s="7" t="s">
        <v>19</v>
      </c>
      <c r="I92" s="7" t="str">
        <f t="shared" si="3"/>
        <v>NO</v>
      </c>
    </row>
    <row r="93" spans="1:9" s="7" customFormat="1" x14ac:dyDescent="0.25">
      <c r="A93" s="7">
        <f>Achievements!A93</f>
        <v>92</v>
      </c>
      <c r="B93" s="7" t="str">
        <f>Achievements!C93</f>
        <v>Thermal Temple Race!</v>
      </c>
      <c r="C93" s="7" t="str">
        <f>Achievements!F93</f>
        <v>Complete level 6-5 in 300 seconds or less using only the burning and normal copy abilities</v>
      </c>
      <c r="D93" s="7" t="s">
        <v>19</v>
      </c>
      <c r="F93" s="7" t="s">
        <v>19</v>
      </c>
      <c r="G93" s="7" t="s">
        <v>19</v>
      </c>
      <c r="I93" s="7" t="str">
        <f t="shared" si="3"/>
        <v>NO</v>
      </c>
    </row>
    <row r="94" spans="1:9" s="7" customFormat="1" x14ac:dyDescent="0.25">
      <c r="A94" s="7">
        <f>Achievements!A94</f>
        <v>93</v>
      </c>
      <c r="B94" s="7" t="str">
        <f>Achievements!C94</f>
        <v>Pirate Poltergeist Challenge!</v>
      </c>
      <c r="C94" s="7" t="str">
        <f>Achievements!F94</f>
        <v>Start with or obtain the parasol ability in the first section of 6-6 and complete the level without losing it</v>
      </c>
      <c r="D94" s="7" t="s">
        <v>19</v>
      </c>
      <c r="F94" s="7" t="s">
        <v>19</v>
      </c>
      <c r="G94" s="7" t="s">
        <v>19</v>
      </c>
      <c r="I94" s="7" t="str">
        <f t="shared" si="3"/>
        <v>NO</v>
      </c>
    </row>
    <row r="95" spans="1:9" s="7" customFormat="1" x14ac:dyDescent="0.25">
      <c r="A95" s="7">
        <f>Achievements!A95</f>
        <v>94</v>
      </c>
      <c r="B95" s="7" t="str">
        <f>Achievements!C95</f>
        <v>Grassland Graveyard Challenge!</v>
      </c>
      <c r="C95" s="7" t="str">
        <f>Achievements!F95</f>
        <v>Start with or obtain the sword ability in the first section of 7-1 and complete the level without losing it</v>
      </c>
      <c r="D95" s="7" t="s">
        <v>19</v>
      </c>
      <c r="F95" s="7" t="s">
        <v>19</v>
      </c>
      <c r="G95" s="7" t="s">
        <v>19</v>
      </c>
      <c r="I95" s="7" t="str">
        <f t="shared" si="3"/>
        <v>NO</v>
      </c>
    </row>
    <row r="96" spans="1:9" s="7" customFormat="1" x14ac:dyDescent="0.25">
      <c r="A96" s="7">
        <f>Achievements!A96</f>
        <v>95</v>
      </c>
      <c r="B96" s="7" t="str">
        <f>Achievements!C96</f>
        <v>Abstract Arts Challenge!</v>
      </c>
      <c r="C96" s="7" t="str">
        <f>Achievements!F96</f>
        <v>Start with or obtain the beam ability in the first section of 7-2 and complete the level without losing it</v>
      </c>
      <c r="D96" s="7" t="s">
        <v>19</v>
      </c>
      <c r="F96" s="7" t="s">
        <v>19</v>
      </c>
      <c r="G96" s="7" t="s">
        <v>19</v>
      </c>
      <c r="I96" s="7" t="str">
        <f t="shared" si="3"/>
        <v>NO</v>
      </c>
    </row>
    <row r="97" spans="1:9" s="7" customFormat="1" x14ac:dyDescent="0.25">
      <c r="A97" s="7">
        <f>Achievements!A97</f>
        <v>96</v>
      </c>
      <c r="B97" s="7" t="str">
        <f>Achievements!C97</f>
        <v>Sinister Shadows Challenge!</v>
      </c>
      <c r="C97" s="7" t="str">
        <f>Achievements!F97</f>
        <v>Start with or obtain the cutter ability in the second section of 7-3 and complete the level without losing it</v>
      </c>
      <c r="D97" s="7" t="s">
        <v>19</v>
      </c>
      <c r="F97" s="7" t="s">
        <v>19</v>
      </c>
      <c r="G97" s="7" t="s">
        <v>19</v>
      </c>
      <c r="I97" s="7" t="str">
        <f t="shared" si="3"/>
        <v>NO</v>
      </c>
    </row>
    <row r="98" spans="1:9" s="7" customFormat="1" x14ac:dyDescent="0.25">
      <c r="A98" s="7">
        <f>Achievements!A98</f>
        <v>97</v>
      </c>
      <c r="B98" s="7" t="str">
        <f>Achievements!C98</f>
        <v>Cosmic Callbacks Race!</v>
      </c>
      <c r="C98" s="7" t="str">
        <f>Achievements!F98</f>
        <v>Complete level 7-4 in 300 seconds or less using only the wheel and normal copy abilities</v>
      </c>
      <c r="D98" s="7" t="s">
        <v>19</v>
      </c>
      <c r="F98" s="7" t="s">
        <v>19</v>
      </c>
      <c r="G98" s="7" t="s">
        <v>19</v>
      </c>
      <c r="I98" s="7" t="str">
        <f t="shared" si="3"/>
        <v>NO</v>
      </c>
    </row>
    <row r="99" spans="1:9" s="7" customFormat="1" x14ac:dyDescent="0.25">
      <c r="A99" s="7">
        <f>Achievements!A99</f>
        <v>98</v>
      </c>
      <c r="B99" s="7" t="str">
        <f>Achievements!C99</f>
        <v>Enchanted Express Diet!</v>
      </c>
      <c r="C99" s="7" t="str">
        <f>Achievements!F99</f>
        <v>Complete level 7-5 without swallowing anything or using copy abilities except on the first screen (items are allowed since they are nutritious)</v>
      </c>
      <c r="D99" s="7" t="s">
        <v>19</v>
      </c>
      <c r="F99" s="7" t="s">
        <v>19</v>
      </c>
      <c r="G99" s="7" t="s">
        <v>19</v>
      </c>
      <c r="I99" s="7" t="str">
        <f t="shared" si="3"/>
        <v>NO</v>
      </c>
    </row>
    <row r="100" spans="1:9" s="7" customFormat="1" x14ac:dyDescent="0.25">
      <c r="A100" s="7">
        <f>Achievements!A100</f>
        <v>99</v>
      </c>
      <c r="B100" s="7" t="str">
        <f>Achievements!C100</f>
        <v>Rainbow Islands Challenge!</v>
      </c>
      <c r="C100" s="7" t="str">
        <f>Achievements!F100</f>
        <v>Start with or obtain the hi-jump ability in the second section of 7-6 and complete the level without losing it</v>
      </c>
      <c r="D100" s="7" t="s">
        <v>19</v>
      </c>
      <c r="F100" s="7" t="s">
        <v>19</v>
      </c>
      <c r="G100" s="7" t="s">
        <v>19</v>
      </c>
      <c r="I100" s="7" t="str">
        <f t="shared" si="3"/>
        <v>NO</v>
      </c>
    </row>
    <row r="101" spans="1:9" s="7" customFormat="1" x14ac:dyDescent="0.25">
      <c r="A101" s="7">
        <f>Achievements!A101</f>
        <v>100</v>
      </c>
      <c r="B101" s="7" t="str">
        <f>Achievements!C101</f>
        <v>Terror Tower's Foundation!</v>
      </c>
      <c r="C101" s="7" t="str">
        <f>Achievements!F101</f>
        <v>Find the hidden switch in level 3-1</v>
      </c>
      <c r="D101" s="7" t="s">
        <v>19</v>
      </c>
      <c r="E101" s="7" t="s">
        <v>19</v>
      </c>
      <c r="F101" s="7" t="s">
        <v>19</v>
      </c>
      <c r="G101" s="7" t="s">
        <v>19</v>
      </c>
      <c r="H101" s="7" t="s">
        <v>19</v>
      </c>
      <c r="I101" s="7" t="str">
        <f t="shared" si="3"/>
        <v>YES</v>
      </c>
    </row>
    <row r="102" spans="1:9" s="7" customFormat="1" x14ac:dyDescent="0.25">
      <c r="A102" s="7">
        <f>Achievements!A102</f>
        <v>101</v>
      </c>
      <c r="B102" s="7" t="str">
        <f>Achievements!C102</f>
        <v>Terror Tower's Peak!</v>
      </c>
      <c r="C102" s="7" t="str">
        <f>Achievements!F102</f>
        <v>Find the hidden switch in level 3-6</v>
      </c>
      <c r="D102" s="7" t="s">
        <v>19</v>
      </c>
      <c r="E102" s="7" t="s">
        <v>19</v>
      </c>
      <c r="F102" s="7" t="s">
        <v>19</v>
      </c>
      <c r="G102" s="7" t="s">
        <v>19</v>
      </c>
      <c r="H102" s="7" t="s">
        <v>19</v>
      </c>
      <c r="I102" s="7" t="str">
        <f t="shared" si="3"/>
        <v>YES</v>
      </c>
    </row>
    <row r="103" spans="1:9" s="7" customFormat="1" x14ac:dyDescent="0.25">
      <c r="A103" s="7">
        <f>Achievements!A103</f>
        <v>102</v>
      </c>
      <c r="B103" s="7" t="str">
        <f>Achievements!C103</f>
        <v>Dead Man's Eye!</v>
      </c>
      <c r="C103" s="7" t="str">
        <f>Achievements!F103</f>
        <v>Find the hidden switch in level 4-1</v>
      </c>
      <c r="D103" s="7" t="s">
        <v>19</v>
      </c>
      <c r="E103" s="7" t="s">
        <v>19</v>
      </c>
      <c r="F103" s="7" t="s">
        <v>19</v>
      </c>
      <c r="G103" s="7" t="s">
        <v>19</v>
      </c>
      <c r="H103" s="7" t="s">
        <v>19</v>
      </c>
      <c r="I103" s="7" t="str">
        <f t="shared" si="3"/>
        <v>YES</v>
      </c>
    </row>
    <row r="104" spans="1:9" s="7" customFormat="1" x14ac:dyDescent="0.25">
      <c r="A104" s="7">
        <f>Achievements!A104</f>
        <v>103</v>
      </c>
      <c r="B104" s="7" t="str">
        <f>Achievements!C104</f>
        <v>Haunted Airship!</v>
      </c>
      <c r="C104" s="7" t="str">
        <f>Achievements!F104</f>
        <v>Find the hidden switch in level 4-3</v>
      </c>
      <c r="D104" s="7" t="s">
        <v>19</v>
      </c>
      <c r="E104" s="7" t="s">
        <v>19</v>
      </c>
      <c r="F104" s="7" t="s">
        <v>19</v>
      </c>
      <c r="G104" s="7" t="s">
        <v>19</v>
      </c>
      <c r="H104" s="7" t="s">
        <v>19</v>
      </c>
      <c r="I104" s="7" t="str">
        <f t="shared" si="3"/>
        <v>YES</v>
      </c>
    </row>
    <row r="105" spans="1:9" s="7" customFormat="1" x14ac:dyDescent="0.25">
      <c r="A105" s="7">
        <f>Achievements!A105</f>
        <v>104</v>
      </c>
      <c r="B105" s="7" t="str">
        <f>Achievements!C105</f>
        <v>The Dark Corners of Skull Street!</v>
      </c>
      <c r="C105" s="7" t="str">
        <f>Achievements!F105</f>
        <v>Find the hidden switch in level 4-6</v>
      </c>
      <c r="D105" s="7" t="s">
        <v>19</v>
      </c>
      <c r="E105" s="7" t="s">
        <v>19</v>
      </c>
      <c r="F105" s="7" t="s">
        <v>19</v>
      </c>
      <c r="G105" s="7" t="s">
        <v>19</v>
      </c>
      <c r="H105" s="7" t="s">
        <v>19</v>
      </c>
      <c r="I105" s="7" t="str">
        <f t="shared" si="3"/>
        <v>YES</v>
      </c>
    </row>
    <row r="106" spans="1:9" s="7" customFormat="1" x14ac:dyDescent="0.25">
      <c r="A106" s="7">
        <f>Achievements!A106</f>
        <v>105</v>
      </c>
      <c r="B106" s="7" t="str">
        <f>Achievements!C106</f>
        <v>Mount Mist Waterfall!</v>
      </c>
      <c r="C106" s="7" t="str">
        <f>Achievements!F106</f>
        <v>Find the hidden switch in level 5-1</v>
      </c>
      <c r="D106" s="7" t="s">
        <v>19</v>
      </c>
      <c r="E106" s="7" t="s">
        <v>19</v>
      </c>
      <c r="F106" s="7" t="s">
        <v>19</v>
      </c>
      <c r="G106" s="7" t="s">
        <v>19</v>
      </c>
      <c r="H106" s="7" t="s">
        <v>19</v>
      </c>
      <c r="I106" s="7" t="str">
        <f t="shared" si="3"/>
        <v>YES</v>
      </c>
    </row>
    <row r="107" spans="1:9" s="7" customFormat="1" x14ac:dyDescent="0.25">
      <c r="A107" s="7">
        <f>Achievements!A107</f>
        <v>106</v>
      </c>
      <c r="B107" s="7" t="str">
        <f>Achievements!C107</f>
        <v>Twilight Desert!</v>
      </c>
      <c r="C107" s="7" t="str">
        <f>Achievements!F107</f>
        <v>Find the hidden switch in level 5-4</v>
      </c>
      <c r="D107" s="7" t="s">
        <v>19</v>
      </c>
      <c r="E107" s="7" t="s">
        <v>19</v>
      </c>
      <c r="F107" s="7" t="s">
        <v>19</v>
      </c>
      <c r="G107" s="7" t="s">
        <v>19</v>
      </c>
      <c r="H107" s="7" t="s">
        <v>19</v>
      </c>
      <c r="I107" s="7" t="str">
        <f t="shared" si="3"/>
        <v>YES</v>
      </c>
    </row>
    <row r="108" spans="1:9" s="7" customFormat="1" x14ac:dyDescent="0.25">
      <c r="A108" s="7">
        <f>Achievements!A108</f>
        <v>107</v>
      </c>
      <c r="B108" s="7" t="str">
        <f>Achievements!C108</f>
        <v>Area 51!</v>
      </c>
      <c r="C108" s="7" t="str">
        <f>Achievements!F108</f>
        <v>Find the hidden switch in level 5-5</v>
      </c>
      <c r="D108" s="7" t="s">
        <v>19</v>
      </c>
      <c r="E108" s="7" t="s">
        <v>19</v>
      </c>
      <c r="F108" s="7" t="s">
        <v>19</v>
      </c>
      <c r="G108" s="7" t="s">
        <v>19</v>
      </c>
      <c r="H108" s="7" t="s">
        <v>19</v>
      </c>
      <c r="I108" s="7" t="str">
        <f t="shared" si="3"/>
        <v>YES</v>
      </c>
    </row>
    <row r="109" spans="1:9" s="7" customFormat="1" x14ac:dyDescent="0.25">
      <c r="A109" s="7">
        <f>Achievements!A109</f>
        <v>108</v>
      </c>
      <c r="B109" s="7" t="str">
        <f>Achievements!C109</f>
        <v>Storage Facility!</v>
      </c>
      <c r="C109" s="7" t="str">
        <f>Achievements!F109</f>
        <v>Find the hidden switch in level 5-6</v>
      </c>
      <c r="D109" s="7" t="s">
        <v>19</v>
      </c>
      <c r="E109" s="7" t="s">
        <v>19</v>
      </c>
      <c r="F109" s="7" t="s">
        <v>19</v>
      </c>
      <c r="G109" s="7" t="s">
        <v>19</v>
      </c>
      <c r="H109" s="7" t="s">
        <v>19</v>
      </c>
      <c r="I109" s="7" t="str">
        <f t="shared" si="3"/>
        <v>YES</v>
      </c>
    </row>
    <row r="110" spans="1:9" s="7" customFormat="1" x14ac:dyDescent="0.25">
      <c r="A110" s="7">
        <f>Achievements!A110</f>
        <v>109</v>
      </c>
      <c r="B110" s="7" t="str">
        <f>Achievements!C110</f>
        <v>Hidden Cargo Hold!</v>
      </c>
      <c r="C110" s="7" t="str">
        <f>Achievements!F110</f>
        <v>Find the hidden switch in level 6-1</v>
      </c>
      <c r="D110" s="7" t="s">
        <v>19</v>
      </c>
      <c r="E110" s="7" t="s">
        <v>19</v>
      </c>
      <c r="F110" s="7" t="s">
        <v>19</v>
      </c>
      <c r="G110" s="7" t="s">
        <v>19</v>
      </c>
      <c r="H110" s="7" t="s">
        <v>19</v>
      </c>
      <c r="I110" s="7" t="str">
        <f t="shared" si="3"/>
        <v>YES</v>
      </c>
    </row>
    <row r="111" spans="1:9" s="7" customFormat="1" x14ac:dyDescent="0.25">
      <c r="A111" s="7">
        <f>Achievements!A111</f>
        <v>110</v>
      </c>
      <c r="B111" s="7" t="str">
        <f>Achievements!C111</f>
        <v>Rock Bottom!</v>
      </c>
      <c r="C111" s="7" t="str">
        <f>Achievements!F111</f>
        <v>Find the hidden switch in level 6-2</v>
      </c>
      <c r="D111" s="7" t="s">
        <v>19</v>
      </c>
      <c r="E111" s="7" t="s">
        <v>19</v>
      </c>
      <c r="F111" s="7" t="s">
        <v>19</v>
      </c>
      <c r="G111" s="7" t="s">
        <v>19</v>
      </c>
      <c r="H111" s="7" t="s">
        <v>19</v>
      </c>
      <c r="I111" s="7" t="str">
        <f t="shared" si="3"/>
        <v>YES</v>
      </c>
    </row>
    <row r="112" spans="1:9" s="7" customFormat="1" x14ac:dyDescent="0.25">
      <c r="A112" s="7">
        <f>Achievements!A112</f>
        <v>111</v>
      </c>
      <c r="B112" s="7" t="str">
        <f>Achievements!C112</f>
        <v>Sunken Switch!</v>
      </c>
      <c r="C112" s="7" t="str">
        <f>Achievements!F112</f>
        <v>Find the hidden switch in level 6-3</v>
      </c>
      <c r="D112" s="7" t="s">
        <v>19</v>
      </c>
      <c r="E112" s="7" t="s">
        <v>19</v>
      </c>
      <c r="F112" s="7" t="s">
        <v>19</v>
      </c>
      <c r="G112" s="7" t="s">
        <v>19</v>
      </c>
      <c r="H112" s="7" t="s">
        <v>19</v>
      </c>
      <c r="I112" s="7" t="str">
        <f t="shared" si="3"/>
        <v>YES</v>
      </c>
    </row>
    <row r="113" spans="1:10" s="7" customFormat="1" x14ac:dyDescent="0.25">
      <c r="A113" s="7">
        <f>Achievements!A113</f>
        <v>112</v>
      </c>
      <c r="B113" s="7" t="str">
        <f>Achievements!C113</f>
        <v>Frozen Paradise!</v>
      </c>
      <c r="C113" s="7" t="str">
        <f>Achievements!F113</f>
        <v>Find the hidden switch in level 6-4</v>
      </c>
      <c r="D113" s="7" t="s">
        <v>19</v>
      </c>
      <c r="E113" s="7" t="s">
        <v>19</v>
      </c>
      <c r="F113" s="7" t="s">
        <v>19</v>
      </c>
      <c r="G113" s="7" t="s">
        <v>19</v>
      </c>
      <c r="H113" s="7" t="s">
        <v>19</v>
      </c>
      <c r="I113" s="7" t="str">
        <f t="shared" si="3"/>
        <v>YES</v>
      </c>
    </row>
    <row r="114" spans="1:10" s="7" customFormat="1" x14ac:dyDescent="0.25">
      <c r="A114" s="7">
        <f>Achievements!A114</f>
        <v>113</v>
      </c>
      <c r="B114" s="7" t="str">
        <f>Achievements!C114</f>
        <v>Lava Lake!</v>
      </c>
      <c r="C114" s="7" t="str">
        <f>Achievements!F114</f>
        <v>Find the hidden switch in level 6-5</v>
      </c>
      <c r="D114" s="7" t="s">
        <v>19</v>
      </c>
      <c r="E114" s="7" t="s">
        <v>19</v>
      </c>
      <c r="F114" s="7" t="s">
        <v>19</v>
      </c>
      <c r="G114" s="7" t="s">
        <v>19</v>
      </c>
      <c r="H114" s="7" t="s">
        <v>19</v>
      </c>
      <c r="I114" s="7" t="str">
        <f t="shared" si="3"/>
        <v>YES</v>
      </c>
    </row>
    <row r="115" spans="1:10" s="7" customFormat="1" x14ac:dyDescent="0.25">
      <c r="A115" s="7">
        <f>Achievements!A115</f>
        <v>114</v>
      </c>
      <c r="B115" s="7" t="str">
        <f>Achievements!C115</f>
        <v>Midnight Swim!</v>
      </c>
      <c r="C115" s="7" t="str">
        <f>Achievements!F115</f>
        <v>Find the hidden switch in level 6-6</v>
      </c>
      <c r="D115" s="7" t="s">
        <v>19</v>
      </c>
      <c r="E115" s="7" t="s">
        <v>19</v>
      </c>
      <c r="F115" s="7" t="s">
        <v>19</v>
      </c>
      <c r="G115" s="7" t="s">
        <v>19</v>
      </c>
      <c r="H115" s="7" t="s">
        <v>19</v>
      </c>
      <c r="I115" s="7" t="str">
        <f t="shared" si="3"/>
        <v>YES</v>
      </c>
    </row>
    <row r="116" spans="1:10" s="7" customFormat="1" x14ac:dyDescent="0.25">
      <c r="A116" s="7">
        <f>Achievements!A116</f>
        <v>115</v>
      </c>
      <c r="B116" s="7" t="str">
        <f>Achievements!C116</f>
        <v>Flooded Crypt!</v>
      </c>
      <c r="C116" s="7" t="str">
        <f>Achievements!F116</f>
        <v>Find the hidden switch in level 7-1</v>
      </c>
      <c r="D116" s="7" t="s">
        <v>19</v>
      </c>
      <c r="E116" s="7" t="s">
        <v>19</v>
      </c>
      <c r="F116" s="7" t="s">
        <v>19</v>
      </c>
      <c r="G116" s="7" t="s">
        <v>19</v>
      </c>
      <c r="H116" s="7" t="s">
        <v>19</v>
      </c>
      <c r="I116" s="7" t="str">
        <f t="shared" si="3"/>
        <v>YES</v>
      </c>
    </row>
    <row r="117" spans="1:10" s="7" customFormat="1" x14ac:dyDescent="0.25">
      <c r="A117" s="7">
        <f>Achievements!A117</f>
        <v>116</v>
      </c>
      <c r="B117" s="7" t="str">
        <f>Achievements!C117</f>
        <v>Retro Palace!</v>
      </c>
      <c r="C117" s="7" t="str">
        <f>Achievements!F117</f>
        <v>Find the hidden switch in level 7-6</v>
      </c>
      <c r="D117" s="7" t="s">
        <v>19</v>
      </c>
      <c r="E117" s="7" t="s">
        <v>19</v>
      </c>
      <c r="F117" s="7" t="s">
        <v>19</v>
      </c>
      <c r="G117" s="7" t="s">
        <v>19</v>
      </c>
      <c r="H117" s="7" t="s">
        <v>19</v>
      </c>
      <c r="I117" s="7" t="str">
        <f t="shared" si="3"/>
        <v>YES</v>
      </c>
    </row>
    <row r="118" spans="1:10" x14ac:dyDescent="0.25">
      <c r="B118" s="7"/>
      <c r="C118" s="7"/>
      <c r="D118" s="7" t="str">
        <f>COUNTIF(D2:D117,"X")&amp;" /"&amp;ROW()-2</f>
        <v>116 /116</v>
      </c>
      <c r="E118" s="7" t="str">
        <f>COUNTIF(E2:E117,"X")&amp;" /"&amp;ROW()-2</f>
        <v>86 /116</v>
      </c>
      <c r="F118" s="7" t="str">
        <f>COUNTIF(F2:F117,"X")&amp;" /"&amp;ROW()-2</f>
        <v>116 /116</v>
      </c>
      <c r="G118" s="7" t="str">
        <f>COUNTIF(G2:G117,"X")&amp;" /"&amp;ROW()-2</f>
        <v>116 /116</v>
      </c>
      <c r="H118" s="7" t="str">
        <f>COUNTIF(H2:H117,"X")&amp;" /"&amp;ROW()-2</f>
        <v>86 /116</v>
      </c>
      <c r="I118" s="7" t="str">
        <f>COUNTIF(I2:I117,"YES")&amp;" /"&amp;ROW()-2</f>
        <v>86 /116</v>
      </c>
      <c r="J118">
        <f>COUNTIF(I2:I117,"YES")/(ROW()-2)*100</f>
        <v>74.137931034482762</v>
      </c>
    </row>
    <row r="119" spans="1:10" x14ac:dyDescent="0.25">
      <c r="B119" s="7"/>
      <c r="C119" s="7"/>
    </row>
    <row r="120" spans="1:10" x14ac:dyDescent="0.25">
      <c r="B120" s="7"/>
    </row>
    <row r="121" spans="1:10" x14ac:dyDescent="0.25">
      <c r="B121" s="7"/>
    </row>
    <row r="122" spans="1:10" x14ac:dyDescent="0.25">
      <c r="B122" s="7"/>
    </row>
    <row r="123" spans="1:10" x14ac:dyDescent="0.25">
      <c r="B123" s="7"/>
    </row>
  </sheetData>
  <autoFilter ref="A1:I1">
    <sortState ref="A2:I62">
      <sortCondition ref="A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5"/>
  <sheetViews>
    <sheetView workbookViewId="0">
      <selection activeCell="L34" sqref="L34"/>
    </sheetView>
  </sheetViews>
  <sheetFormatPr defaultRowHeight="15" x14ac:dyDescent="0.25"/>
  <sheetData>
    <row r="1" spans="1:1" x14ac:dyDescent="0.25">
      <c r="A1" t="str">
        <f>Join(Levels!J2:Z2,", ")&amp;" = Level "&amp;Levels!B2&amp;"-"&amp;Levels!C2&amp;" "&amp;Levels!E2</f>
        <v>0x2b, 0x2c, 0x15, 0x2d = Level 1-1 Pumpkin Path</v>
      </c>
    </row>
    <row r="2" spans="1:1" x14ac:dyDescent="0.25">
      <c r="A2" s="7" t="str">
        <f>Join(Levels!J3:Z3,", ")&amp;" = Level "&amp;Levels!B3&amp;"-"&amp;Levels!C3&amp;" "&amp;Levels!E3</f>
        <v>0x2f, 0x31, 0x32, 0x33 = Level 1-2 Summit Scares</v>
      </c>
    </row>
    <row r="3" spans="1:1" x14ac:dyDescent="0.25">
      <c r="A3" s="7" t="str">
        <f>Join(Levels!J4:Z4,", ")&amp;" = Level "&amp;Levels!B4&amp;"-"&amp;Levels!C4&amp;" "&amp;Levels!E4</f>
        <v>0x35, 0x36, 0x34, 0x37, 0x38 = Level 1-3 Haunted Hills</v>
      </c>
    </row>
    <row r="4" spans="1:1" x14ac:dyDescent="0.25">
      <c r="A4" s="7" t="str">
        <f>Join(Levels!J5:Z5,", ")&amp;" = Level "&amp;Levels!B5&amp;"-"&amp;Levels!C5&amp;" "&amp;Levels!E5</f>
        <v>0x39, 0x3a, 0x3b, 0x3c = Level 1-4 Fright Forest</v>
      </c>
    </row>
    <row r="5" spans="1:1" x14ac:dyDescent="0.25">
      <c r="A5" s="7" t="str">
        <f>Join(Levels!J6:Z6,", ")&amp;" = Level "&amp;Levels!B6&amp;"-"&amp;Levels!C6&amp;" "&amp;Levels!E6</f>
        <v>0x08 = Level 1-8 Yggy Woods Jr.</v>
      </c>
    </row>
    <row r="6" spans="1:1" x14ac:dyDescent="0.25">
      <c r="A6" s="7" t="str">
        <f>Join(Levels!J7:Z7,", ")&amp;" = Level "&amp;Levels!B7&amp;"-"&amp;Levels!C7&amp;" "&amp;Levels!E7</f>
        <v>0xa9, 0xab, 0xaa, 0xac = Level 2-1 Skeleton Shore</v>
      </c>
    </row>
    <row r="7" spans="1:1" x14ac:dyDescent="0.25">
      <c r="A7" s="7" t="str">
        <f>Join(Levels!J8:Z8,", ")&amp;" = Level "&amp;Levels!B8&amp;"-"&amp;Levels!C8&amp;" "&amp;Levels!E8</f>
        <v>0xad, 0xab, 0xad, 0xae, 0xaf, 0xb0 = Level 2-2 Morning Mangrove</v>
      </c>
    </row>
    <row r="8" spans="1:1" x14ac:dyDescent="0.25">
      <c r="A8" s="7" t="str">
        <f>Join(Levels!J9:Z9,", ")&amp;" = Level "&amp;Levels!B9&amp;"-"&amp;Levels!C9&amp;" "&amp;Levels!E9</f>
        <v>0xb1, 0xb2, 0xb3, 0xb4, 0xb5, 0xb6 = Level 2-3 Sand Sea</v>
      </c>
    </row>
    <row r="9" spans="1:1" x14ac:dyDescent="0.25">
      <c r="A9" s="7" t="str">
        <f>Join(Levels!J10:Z10,", ")&amp;" = Level "&amp;Levels!B10&amp;"-"&amp;Levels!C10&amp;" "&amp;Levels!E10</f>
        <v>0xb8, 0xb9, 0xba, 0xbb, 0xbc, 0xbd, 0xbc, 0xbe = Level 2-4 West Wilderness</v>
      </c>
    </row>
    <row r="10" spans="1:1" x14ac:dyDescent="0.25">
      <c r="A10" s="7" t="str">
        <f>Join(Levels!J11:Z11,", ")&amp;" = Level "&amp;Levels!B11&amp;"-"&amp;Levels!C11&amp;" "&amp;Levels!E11</f>
        <v>0xc1, 0xbf, 0xc0, 0xc2, 0xc4, 0xc5 = Level 2-5 Colorful Caverns</v>
      </c>
    </row>
    <row r="11" spans="1:1" x14ac:dyDescent="0.25">
      <c r="A11" s="7" t="str">
        <f>Join(Levels!J12:Z12,", ")&amp;" = Level "&amp;Levels!B12&amp;"-"&amp;Levels!C12&amp;" "&amp;Levels!E12</f>
        <v>0x09 = Level 2-8 Adeleine</v>
      </c>
    </row>
    <row r="12" spans="1:1" x14ac:dyDescent="0.25">
      <c r="A12" s="7" t="str">
        <f>Join(Levels!J13:Z13,", ")&amp;" = Level "&amp;Levels!B13&amp;"-"&amp;Levels!C13&amp;" "&amp;Levels!E13</f>
        <v>0xc6, 0xc7, 0xc9, 0xc8, 0xcb, 0xca, 0xcf, 0xc9 = Level 3-1 Menacing Mansion</v>
      </c>
    </row>
    <row r="13" spans="1:1" x14ac:dyDescent="0.25">
      <c r="A13" s="7" t="str">
        <f>Join(Levels!J14:Z14,", ")&amp;" = Level "&amp;Levels!B14&amp;"-"&amp;Levels!C14&amp;" "&amp;Levels!E14</f>
        <v>0xcc, 0xce, 0xcd, 0xcc, 0xcf, 0xcc, 0xb7, 0xd0, 0xd2 = Level 3-2 Aquarium Altars</v>
      </c>
    </row>
    <row r="14" spans="1:1" x14ac:dyDescent="0.25">
      <c r="A14" s="7" t="str">
        <f>Join(Levels!J15:Z15,", ")&amp;" = Level "&amp;Levels!B15&amp;"-"&amp;Levels!C15&amp;" "&amp;Levels!E15</f>
        <v>0xd3, 0xd4, 0xd0, 0xd6, 0xd0, 0xd6, 0xd0, 0xd5 = Level 3-3 Phantom Pyramid</v>
      </c>
    </row>
    <row r="15" spans="1:1" x14ac:dyDescent="0.25">
      <c r="A15" s="7" t="str">
        <f>Join(Levels!J16:Z16,", ")&amp;" = Level "&amp;Levels!B16&amp;"-"&amp;Levels!C16&amp;" "&amp;Levels!E16</f>
        <v>0xd8, 0xda, 0xdc, 0xdf, 0xd7, 0xdd = Level 3-4 Flying Fortress</v>
      </c>
    </row>
    <row r="16" spans="1:1" x14ac:dyDescent="0.25">
      <c r="A16" s="7" t="str">
        <f>Join(Levels!J17:Z17,", ")&amp;" = Level "&amp;Levels!B17&amp;"-"&amp;Levels!C17&amp;" "&amp;Levels!E17</f>
        <v>0xc3, 0xde, 0xe0, 0xd1, 0xe0, 0xe8, 0xe1, 0xe2 = Level 3-5 Moonlight Memories</v>
      </c>
    </row>
    <row r="17" spans="1:1" x14ac:dyDescent="0.25">
      <c r="A17" s="7" t="str">
        <f>Join(Levels!J18:Z18,", ")&amp;" = Level "&amp;Levels!B18&amp;"-"&amp;Levels!C18&amp;" "&amp;Levels!E18</f>
        <v>0xe3, 0xe4, 0xe5, 0xe6, 0xe7, 0xe9, 0xea, 0xeb = Level 3-6 Titanic Tower</v>
      </c>
    </row>
    <row r="18" spans="1:1" x14ac:dyDescent="0.25">
      <c r="A18" s="7" t="str">
        <f>Join(Levels!J19:Z19,", ")&amp;" = Level "&amp;Levels!B19&amp;"-"&amp;Levels!C19&amp;" "&amp;Levels!E19</f>
        <v>0x0a = Level 3-8 Mr Bright &amp; Mr Shine</v>
      </c>
    </row>
    <row r="19" spans="1:1" x14ac:dyDescent="0.25">
      <c r="A19" s="7" t="str">
        <f>Join(Levels!J20:Z20,", ")&amp;" = Level "&amp;Levels!B20&amp;"-"&amp;Levels!C20&amp;" "&amp;Levels!E20</f>
        <v>0xec, 0xed, 0xef, 0xf1, 0xee, 0xf0 = Level 4-1 Tombstone Tunnel</v>
      </c>
    </row>
    <row r="20" spans="1:1" x14ac:dyDescent="0.25">
      <c r="A20" s="7" t="str">
        <f>Join(Levels!J21:Z21,", ")&amp;" = Level "&amp;Levels!B21&amp;"-"&amp;Levels!C21&amp;" "&amp;Levels!E21</f>
        <v>0xf0, 0xf2, 0xf5, 0xf2, 0xee, 0xf6 = Level 4-2 Silent Streets</v>
      </c>
    </row>
    <row r="21" spans="1:1" x14ac:dyDescent="0.25">
      <c r="A21" s="7" t="str">
        <f>Join(Levels!J22:Z22,", ")&amp;" = Level "&amp;Levels!B22&amp;"-"&amp;Levels!C22&amp;" "&amp;Levels!E22</f>
        <v>0xf3, 0xf7, 0xf8, 0xf9, 0xfb, 0xfa, 0xfb, 0xfa, 0xfb, 0xfe, 0xfc, 0xfa, 0xfc, 0xfa, 0xfc, 0xff, 0x100 = Level 4-3 Creepy Circus</v>
      </c>
    </row>
    <row r="22" spans="1:1" x14ac:dyDescent="0.25">
      <c r="A22" s="7" t="str">
        <f>Join(Levels!J23:Z23,", ")&amp;" = Level "&amp;Levels!B23&amp;"-"&amp;Levels!C23&amp;" "&amp;Levels!E23</f>
        <v>0x101, 0x103, 0x102, 0x103, 0x107, 0x106 = Level 4-4 Stardust Subway</v>
      </c>
    </row>
    <row r="23" spans="1:1" x14ac:dyDescent="0.25">
      <c r="A23" s="7" t="str">
        <f>Join(Levels!J24:Z24,", ")&amp;" = Level "&amp;Levels!B24&amp;"-"&amp;Levels!C24&amp;" "&amp;Levels!E24</f>
        <v>0x104, 0x105, 0x110, 0x109, 0x108, 0x10a = Level 4-5 Macabre Museums</v>
      </c>
    </row>
    <row r="24" spans="1:1" x14ac:dyDescent="0.25">
      <c r="A24" s="7" t="str">
        <f>Join(Levels!J25:Z25,", ")&amp;" = Level "&amp;Levels!B25&amp;"-"&amp;Levels!C25&amp;" "&amp;Levels!E25</f>
        <v>0x104, 0x10b, 0x10c, 0x10f, 0x10d, 0x10f, 0x10b, 0x110 = Level 4-6 Fun Factory</v>
      </c>
    </row>
    <row r="25" spans="1:1" x14ac:dyDescent="0.25">
      <c r="A25" s="7" t="str">
        <f>Join(Levels!J26:Z26,", ")&amp;" = Level "&amp;Levels!B26&amp;"-"&amp;Levels!C26&amp;" "&amp;Levels!E26</f>
        <v>0x0b = Level 4-8 Kracko's Revenge</v>
      </c>
    </row>
    <row r="26" spans="1:1" x14ac:dyDescent="0.25">
      <c r="A26" s="7" t="str">
        <f>Join(Levels!J27:Z27,", ")&amp;" = Level "&amp;Levels!B27&amp;"-"&amp;Levels!C27&amp;" "&amp;Levels!E27</f>
        <v>0x111, 0x113, 0x114, 0x112, 0x115 = Level 5-1 Shivery Sierra</v>
      </c>
    </row>
    <row r="27" spans="1:1" x14ac:dyDescent="0.25">
      <c r="A27" s="7" t="str">
        <f>Join(Levels!J28:Z28,", ")&amp;" = Level "&amp;Levels!B28&amp;"-"&amp;Levels!C28&amp;" "&amp;Levels!E28</f>
        <v>0x116, 0x117, 0x11c, 0x118, 0x117, 0x118, 0x11b, 0x11a = Level 5-2 Magma Mountain</v>
      </c>
    </row>
    <row r="28" spans="1:1" x14ac:dyDescent="0.25">
      <c r="A28" s="7" t="str">
        <f>Join(Levels!J29:Z29,", ")&amp;" = Level "&amp;Levels!B29&amp;"-"&amp;Levels!C29&amp;" "&amp;Levels!E29</f>
        <v>0x11d, 0x11e, 0x11f, 0x11e, 0x120, 0x122 = Level 5-3 Woodland Warriors</v>
      </c>
    </row>
    <row r="29" spans="1:1" x14ac:dyDescent="0.25">
      <c r="A29" s="7" t="str">
        <f>Join(Levels!J30:Z30,", ")&amp;" = Level "&amp;Levels!B30&amp;"-"&amp;Levels!C30&amp;" "&amp;Levels!E30</f>
        <v>0x123, 0x125, 0x126, 0x127, 0x128, 0x124, 0x129 = Level 5-4 Tempest Traintracks</v>
      </c>
    </row>
    <row r="30" spans="1:1" x14ac:dyDescent="0.25">
      <c r="A30" s="7" t="str">
        <f>Join(Levels!J31:Z31,", ")&amp;" = Level "&amp;Levels!B31&amp;"-"&amp;Levels!C31&amp;" "&amp;Levels!E31</f>
        <v>0x12a, 0x130, 0x12f, 0x12e, 0x12d, 0x12e = Level 5-5 Desolate Division</v>
      </c>
    </row>
    <row r="31" spans="1:1" x14ac:dyDescent="0.25">
      <c r="A31" s="7" t="str">
        <f>Join(Levels!J32:Z32,", ")&amp;" = Level "&amp;Levels!B32&amp;"-"&amp;Levels!C32&amp;" "&amp;Levels!E32</f>
        <v>0x12b, 0x131, 0x132, 0x134, 0x131, 0x133, 0x136 = Level 5-6 Fear Factory</v>
      </c>
    </row>
    <row r="32" spans="1:1" x14ac:dyDescent="0.25">
      <c r="A32" s="7" t="str">
        <f>Join(Levels!J33:Z33,", ")&amp;" = Level "&amp;Levels!B33&amp;"-"&amp;Levels!C33&amp;" "&amp;Levels!E33</f>
        <v>0x0c = Level 5-8 Heavy Mole</v>
      </c>
    </row>
    <row r="33" spans="1:1" x14ac:dyDescent="0.25">
      <c r="A33" s="7" t="str">
        <f>Join(Levels!J34:Z34,", ")&amp;" = Level "&amp;Levels!B34&amp;"-"&amp;Levels!C34&amp;" "&amp;Levels!E34</f>
        <v>0x3d, 0x3e, 0x3f, 0x40 = Level 6-1 Haunted Harbor</v>
      </c>
    </row>
    <row r="34" spans="1:1" x14ac:dyDescent="0.25">
      <c r="A34" s="7" t="str">
        <f>Join(Levels!J35:Z35,", ")&amp;" = Level "&amp;Levels!B35&amp;"-"&amp;Levels!C35&amp;" "&amp;Levels!E35</f>
        <v>0x43, 0x44, 0x43, 0x45, 0x48, 0x47 = Level 6-2 Olympic Odyssey</v>
      </c>
    </row>
    <row r="35" spans="1:1" x14ac:dyDescent="0.25">
      <c r="A35" s="7" t="str">
        <f>Join(Levels!J36:Z36,", ")&amp;" = Level "&amp;Levels!B36&amp;"-"&amp;Levels!C36&amp;" "&amp;Levels!E36</f>
        <v>0x52, 0x51, 0x4a, 0x4c, 0x4e, 0x4f, 0x4d, 0x53 = Level 6-3 Sunken Shipwreck</v>
      </c>
    </row>
    <row r="36" spans="1:1" x14ac:dyDescent="0.25">
      <c r="A36" s="7" t="str">
        <f>Join(Levels!J37:Z37,", ")&amp;" = Level "&amp;Levels!B37&amp;"-"&amp;Levels!C37&amp;" "&amp;Levels!E37</f>
        <v>0x5c, 0x5f, 0x5e, 0x5d, 0x5e = Level 6-4 Eerie Ends</v>
      </c>
    </row>
    <row r="37" spans="1:1" x14ac:dyDescent="0.25">
      <c r="A37" s="7" t="str">
        <f>Join(Levels!J38:Z38,", ")&amp;" = Level "&amp;Levels!B38&amp;"-"&amp;Levels!C38&amp;" "&amp;Levels!E38</f>
        <v>0x61, 0x62, 0x65, 0x66, 0x67 = Level 6-5 Thermal Temple</v>
      </c>
    </row>
    <row r="38" spans="1:1" x14ac:dyDescent="0.25">
      <c r="A38" s="7" t="str">
        <f>Join(Levels!J39:Z39,", ")&amp;" = Level "&amp;Levels!B39&amp;"-"&amp;Levels!C39&amp;" "&amp;Levels!E39</f>
        <v>0x56, 0x57, 0x58, 0x54, 0x56, 0x64, 0x6e = Level 6-6 Pirate Poltergeist</v>
      </c>
    </row>
    <row r="39" spans="1:1" x14ac:dyDescent="0.25">
      <c r="A39" s="7" t="str">
        <f>Join(Levels!J40:Z40,", ")&amp;" = Level "&amp;Levels!B40&amp;"-"&amp;Levels!C40&amp;" "&amp;Levels!E40</f>
        <v>0x6c = Level 6-8 Tuxedo Meta Knight</v>
      </c>
    </row>
    <row r="40" spans="1:1" x14ac:dyDescent="0.25">
      <c r="A40" s="7" t="str">
        <f>Join(Levels!J41:Z41,", ")&amp;" = Level "&amp;Levels!B41&amp;"-"&amp;Levels!C41&amp;" "&amp;Levels!E41</f>
        <v>0x6d, 0x6e, 0x6f, 0x74 = Level 7-1 Grassland Graveyard</v>
      </c>
    </row>
    <row r="41" spans="1:1" x14ac:dyDescent="0.25">
      <c r="A41" s="7" t="str">
        <f>Join(Levels!J42:Z42,", ")&amp;" = Level "&amp;Levels!B42&amp;"-"&amp;Levels!C42&amp;" "&amp;Levels!E42</f>
        <v>0xa7, 0x75, 0x79, 0x77, 0x79, 0x7a, 0x79 = Level 7-2 Abstract Arts</v>
      </c>
    </row>
    <row r="42" spans="1:1" x14ac:dyDescent="0.25">
      <c r="A42" s="7" t="str">
        <f>Join(Levels!J43:Z43,", ")&amp;" = Level "&amp;Levels!B43&amp;"-"&amp;Levels!C43&amp;" "&amp;Levels!E43</f>
        <v>0x7f, 0x80, 0x81, 0x83, 0x80, 0x82, 0x80, 0x84 = Level 7-3 Sinister Shadows</v>
      </c>
    </row>
    <row r="43" spans="1:1" x14ac:dyDescent="0.25">
      <c r="A43" s="7" t="str">
        <f>Join(Levels!J44:Z44,", ")&amp;" = Level "&amp;Levels!B44&amp;"-"&amp;Levels!C44&amp;" "&amp;Levels!E44</f>
        <v>0x73, 0x90, 0x91, 0x92, 0x93, 0x8d, 0x94, 0x95, 0x96, 0x97, 0x98, 0x99, 0x72 = Level 7-4 Cosmic Callbacks</v>
      </c>
    </row>
    <row r="44" spans="1:1" x14ac:dyDescent="0.25">
      <c r="A44" s="7" t="str">
        <f>Join(Levels!J45:Z45,", ")&amp;" = Level "&amp;Levels!B45&amp;"-"&amp;Levels!C45&amp;" "&amp;Levels!E45</f>
        <v>0x73, 0x76, 0xa3, 0xa5, 0xa4, 0xa6, 0xa8 = Level 7-5 Enchanted Express</v>
      </c>
    </row>
    <row r="45" spans="1:1" x14ac:dyDescent="0.25">
      <c r="A45" s="7" t="str">
        <f>Join(Levels!J46:Z46,", ")&amp;" = Level "&amp;Levels!B46&amp;"-"&amp;Levels!C46&amp;" "&amp;Levels!E46</f>
        <v>0x7e, 0x9a, 0x9b, 0x9c, 0x9d, 0x9e, 0x9f, 0xa0, 0xa1 = Level 7-6 Rainbow Islands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96"/>
  <sheetViews>
    <sheetView topLeftCell="A87" workbookViewId="0">
      <selection activeCell="A126" sqref="A126"/>
    </sheetView>
  </sheetViews>
  <sheetFormatPr defaultRowHeight="15" x14ac:dyDescent="0.25"/>
  <cols>
    <col min="1" max="1" width="129.42578125" customWidth="1"/>
  </cols>
  <sheetData>
    <row r="1" spans="1:1" x14ac:dyDescent="0.25">
      <c r="A1" t="s">
        <v>20</v>
      </c>
    </row>
    <row r="2" spans="1:1" x14ac:dyDescent="0.25">
      <c r="A2" t="s">
        <v>17</v>
      </c>
    </row>
    <row r="3" spans="1:1" s="7" customFormat="1" x14ac:dyDescent="0.25">
      <c r="A3" s="7" t="str">
        <f ca="1">"achievement("&amp;CHAR(34)&amp;INDIRECT("Achievements!C"&amp;(ROW()-1))&amp;CHAR(34)&amp;","&amp;CHAR(34)&amp;INDIRECT("Achievements!F"&amp;(ROW()-1))&amp;CHAR(34)&amp;", "&amp;INDIRECT("Achievements!E"&amp;(ROW()-1))&amp;", trigger)"</f>
        <v>achievement("Playing With Fire!","Obtain the fire ability", 1, trigger)</v>
      </c>
    </row>
    <row r="4" spans="1:1" s="7" customFormat="1" x14ac:dyDescent="0.25">
      <c r="A4" s="7" t="str">
        <f t="shared" ref="A4:A67" ca="1" si="0">"achievement("&amp;CHAR(34)&amp;INDIRECT("Achievements!C"&amp;(ROW()-1))&amp;CHAR(34)&amp;","&amp;CHAR(34)&amp;INDIRECT("Achievements!F"&amp;(ROW()-1))&amp;CHAR(34)&amp;", "&amp;INDIRECT("Achievements!E"&amp;(ROW()-1))&amp;", trigger)"</f>
        <v>achievement("It’s Alive!","Obtain the spark ability", 1, trigger)</v>
      </c>
    </row>
    <row r="5" spans="1:1" s="7" customFormat="1" x14ac:dyDescent="0.25">
      <c r="A5" s="7" t="str">
        <f t="shared" ca="1" si="0"/>
        <v>achievement("Tell ‘Em Freddy Sent Ya!","Obtain the cutter ability", 1, trigger)</v>
      </c>
    </row>
    <row r="6" spans="1:1" s="7" customFormat="1" x14ac:dyDescent="0.25">
      <c r="A6" s="7" t="str">
        <f t="shared" ca="1" si="0"/>
        <v>achievement("Sword, Quench Your Thirst!","Obtain the sword ability", 1, trigger)</v>
      </c>
    </row>
    <row r="7" spans="1:1" s="7" customFormat="1" x14ac:dyDescent="0.25">
      <c r="A7" s="7" t="str">
        <f t="shared" ca="1" si="0"/>
        <v>achievement("Burning Man!","Obtain the burning ability", 1, trigger)</v>
      </c>
    </row>
    <row r="8" spans="1:1" s="7" customFormat="1" x14ac:dyDescent="0.25">
      <c r="A8" s="7" t="str">
        <f t="shared" ca="1" si="0"/>
        <v>achievement("Energy Blasts, Huh? Here’s One From a Pro!","Obtain the laser ability", 1, trigger)</v>
      </c>
    </row>
    <row r="9" spans="1:1" s="7" customFormat="1" x14ac:dyDescent="0.25">
      <c r="A9" s="7" t="str">
        <f t="shared" ca="1" si="0"/>
        <v>achievement("Sibilance!","Obtain the mike ability", 1, trigger)</v>
      </c>
    </row>
    <row r="10" spans="1:1" s="7" customFormat="1" x14ac:dyDescent="0.25">
      <c r="A10" s="7" t="str">
        <f t="shared" ca="1" si="0"/>
        <v>achievement("Roll Out!","Obtain the wheel ability", 1, trigger)</v>
      </c>
    </row>
    <row r="11" spans="1:1" s="7" customFormat="1" x14ac:dyDescent="0.25">
      <c r="A11" s="7" t="str">
        <f t="shared" ca="1" si="0"/>
        <v>achievement("Everything Looks Like a Nail!","Obtain the hammer ability", 1, trigger)</v>
      </c>
    </row>
    <row r="12" spans="1:1" s="7" customFormat="1" x14ac:dyDescent="0.25">
      <c r="A12" s="7" t="str">
        <f t="shared" ca="1" si="0"/>
        <v>achievement("I’m Mary Poppin’s Y’all!","Obtain the parasol ability", 1, trigger)</v>
      </c>
    </row>
    <row r="13" spans="1:1" s="7" customFormat="1" x14ac:dyDescent="0.25">
      <c r="A13" s="7" t="str">
        <f t="shared" ca="1" si="0"/>
        <v>achievement("Sweet Dreams!","Obtain the sleep ability", 1, trigger)</v>
      </c>
    </row>
    <row r="14" spans="1:1" s="7" customFormat="1" x14ac:dyDescent="0.25">
      <c r="A14" s="7" t="str">
        <f t="shared" ca="1" si="0"/>
        <v>achievement("Pins and Needles!","Obtain the needle ability", 1, trigger)</v>
      </c>
    </row>
    <row r="15" spans="1:1" s="7" customFormat="1" x14ac:dyDescent="0.25">
      <c r="A15" s="7" t="str">
        <f t="shared" ca="1" si="0"/>
        <v>achievement("Cold as Ice!","Obtain the ice ability", 1, trigger)</v>
      </c>
    </row>
    <row r="16" spans="1:1" s="7" customFormat="1" x14ac:dyDescent="0.25">
      <c r="A16" s="7" t="str">
        <f t="shared" ca="1" si="0"/>
        <v>achievement("Freeze!","Obtain the freeze ability", 1, trigger)</v>
      </c>
    </row>
    <row r="17" spans="1:1" s="7" customFormat="1" x14ac:dyDescent="0.25">
      <c r="A17" s="7" t="str">
        <f t="shared" ca="1" si="0"/>
        <v>achievement("Able to Leap Tall Buildings in a Single Bound!","Obtain the hi-jump ability", 1, trigger)</v>
      </c>
    </row>
    <row r="18" spans="1:1" s="7" customFormat="1" x14ac:dyDescent="0.25">
      <c r="A18" s="7" t="str">
        <f ca="1">"achievement("&amp;CHAR(34)&amp;INDIRECT("Achievements!C"&amp;(ROW()-1))&amp;CHAR(34)&amp;","&amp;CHAR(34)&amp;INDIRECT("Achievements!F"&amp;(ROW()-1))&amp;CHAR(34)&amp;", "&amp;INDIRECT("Achievements!E"&amp;(ROW()-1))&amp;", trigger)"</f>
        <v>achievement("Beaming!","Obtain the beam ability", 1, trigger)</v>
      </c>
    </row>
    <row r="19" spans="1:1" s="7" customFormat="1" x14ac:dyDescent="0.25">
      <c r="A19" s="7" t="str">
        <f t="shared" ca="1" si="0"/>
        <v>achievement("I Got a Rock!","Obtain the rock ability", 1, trigger)</v>
      </c>
    </row>
    <row r="20" spans="1:1" s="7" customFormat="1" x14ac:dyDescent="0.25">
      <c r="A20" s="7" t="str">
        <f t="shared" ca="1" si="0"/>
        <v>achievement("Be the Ball!","Obtain the b-ball ability", 1, trigger)</v>
      </c>
    </row>
    <row r="21" spans="1:1" s="7" customFormat="1" x14ac:dyDescent="0.25">
      <c r="A21" s="7" t="str">
        <f t="shared" ca="1" si="0"/>
        <v>achievement("Sharknado!","Obtain the tornado ability", 1, trigger)</v>
      </c>
    </row>
    <row r="22" spans="1:1" s="7" customFormat="1" x14ac:dyDescent="0.25">
      <c r="A22" s="7" t="str">
        <f t="shared" ca="1" si="0"/>
        <v>achievement("Crash the Party!","Obtain the crash ability", 1, trigger)</v>
      </c>
    </row>
    <row r="23" spans="1:1" s="7" customFormat="1" x14ac:dyDescent="0.25">
      <c r="A23" s="7" t="str">
        <f t="shared" ca="1" si="0"/>
        <v>achievement("Lightbringer!","Obtain the light ability", 1, trigger)</v>
      </c>
    </row>
    <row r="24" spans="1:1" s="7" customFormat="1" x14ac:dyDescent="0.25">
      <c r="A24" s="7" t="str">
        <f t="shared" ca="1" si="0"/>
        <v>achievement("Wanna Wrestle?","Obtain the wrestler ability", 1, trigger)</v>
      </c>
    </row>
    <row r="25" spans="1:1" s="7" customFormat="1" x14ac:dyDescent="0.25">
      <c r="A25" s="7" t="str">
        <f t="shared" ca="1" si="0"/>
        <v>achievement("Throwing Stars!","Obtain the throw ability", 1, trigger)</v>
      </c>
    </row>
    <row r="26" spans="1:1" s="7" customFormat="1" x14ac:dyDescent="0.25">
      <c r="A26" s="7" t="str">
        <f t="shared" ca="1" si="0"/>
        <v>achievement("It Came From Planet Dream Land!","Obtain the U.F.O. ability", 1, trigger)</v>
      </c>
    </row>
    <row r="27" spans="1:1" s="7" customFormat="1" x14ac:dyDescent="0.25">
      <c r="A27" s="7" t="str">
        <f t="shared" ca="1" si="0"/>
        <v>achievement("Shaken, Not Stirred!","Obtain the mix ability", 1, trigger)</v>
      </c>
    </row>
    <row r="28" spans="1:1" s="7" customFormat="1" x14ac:dyDescent="0.25">
      <c r="A28" s="7" t="str">
        <f t="shared" ca="1" si="0"/>
        <v>achievement("Pumpkin Prairie!","Complete Pumpkin Prairie on normal", 5, trigger)</v>
      </c>
    </row>
    <row r="29" spans="1:1" s="7" customFormat="1" x14ac:dyDescent="0.25">
      <c r="A29" s="7" t="str">
        <f t="shared" ca="1" si="0"/>
        <v>achievement("Spooky Seaside!","Complete Spooky Seaside on normal", 5, trigger)</v>
      </c>
    </row>
    <row r="30" spans="1:1" s="7" customFormat="1" x14ac:dyDescent="0.25">
      <c r="A30" s="7" t="str">
        <f t="shared" ca="1" si="0"/>
        <v>achievement("Terror Tower!","Complete Terror Tower on normal", 5, trigger)</v>
      </c>
    </row>
    <row r="31" spans="1:1" s="7" customFormat="1" x14ac:dyDescent="0.25">
      <c r="A31" s="7" t="str">
        <f t="shared" ca="1" si="0"/>
        <v>achievement("Skull Street!","Complete Skull Street on normal", 5, trigger)</v>
      </c>
    </row>
    <row r="32" spans="1:1" s="7" customFormat="1" x14ac:dyDescent="0.25">
      <c r="A32" s="7" t="str">
        <f t="shared" ca="1" si="0"/>
        <v>achievement("Mount Mist!","Complete Mount Mist on normal", 5, trigger)</v>
      </c>
    </row>
    <row r="33" spans="1:1" s="7" customFormat="1" x14ac:dyDescent="0.25">
      <c r="A33" s="7" t="str">
        <f t="shared" ca="1" si="0"/>
        <v>achievement("Hades Harbor!","Complete Hades Harbor on normal", 5, trigger)</v>
      </c>
    </row>
    <row r="34" spans="1:1" s="7" customFormat="1" x14ac:dyDescent="0.25">
      <c r="A34" s="7" t="str">
        <f t="shared" ca="1" si="0"/>
        <v>achievement("Ghostly Graves!","Complete Ghostly Graves on normal", 5, trigger)</v>
      </c>
    </row>
    <row r="35" spans="1:1" s="7" customFormat="1" x14ac:dyDescent="0.25">
      <c r="A35" s="7" t="str">
        <f t="shared" ca="1" si="0"/>
        <v>achievement("The Fountain of Dreams!","Complete The Fountain of Dreams on normal", 5, trigger)</v>
      </c>
    </row>
    <row r="36" spans="1:1" s="7" customFormat="1" x14ac:dyDescent="0.25">
      <c r="A36" s="7" t="str">
        <f t="shared" ca="1" si="0"/>
        <v>achievement("Pumpkin Prairie Extra!","Complete Pumpkin Prairie on extra", 10, trigger)</v>
      </c>
    </row>
    <row r="37" spans="1:1" s="7" customFormat="1" x14ac:dyDescent="0.25">
      <c r="A37" s="7" t="str">
        <f t="shared" ca="1" si="0"/>
        <v>achievement("Spooky Seaside Extra!","Complete Spooky Seaside on extra", 10, trigger)</v>
      </c>
    </row>
    <row r="38" spans="1:1" s="7" customFormat="1" x14ac:dyDescent="0.25">
      <c r="A38" s="7" t="str">
        <f t="shared" ca="1" si="0"/>
        <v>achievement("Terror Tower Extra!","Complete Terror Tower on extra", 10, trigger)</v>
      </c>
    </row>
    <row r="39" spans="1:1" s="7" customFormat="1" x14ac:dyDescent="0.25">
      <c r="A39" s="7" t="str">
        <f t="shared" ca="1" si="0"/>
        <v>achievement("Skull Street Extra!","Complete Skull Street on extra", 10, trigger)</v>
      </c>
    </row>
    <row r="40" spans="1:1" x14ac:dyDescent="0.25">
      <c r="A40" s="7" t="str">
        <f t="shared" ca="1" si="0"/>
        <v>achievement("Mount Mist Extra!","Complete Mount Mist on extra", 10, trigger)</v>
      </c>
    </row>
    <row r="41" spans="1:1" x14ac:dyDescent="0.25">
      <c r="A41" s="7" t="str">
        <f t="shared" ca="1" si="0"/>
        <v>achievement("Hades Harbor Extra!","Complete Hades Harbor on extra", 10, trigger)</v>
      </c>
    </row>
    <row r="42" spans="1:1" x14ac:dyDescent="0.25">
      <c r="A42" s="7" t="str">
        <f t="shared" ca="1" si="0"/>
        <v>achievement("Ghostly Graves Extra!","Complete Ghostly Graves on extra", 10, trigger)</v>
      </c>
    </row>
    <row r="43" spans="1:1" x14ac:dyDescent="0.25">
      <c r="A43" s="7" t="str">
        <f t="shared" ca="1" si="0"/>
        <v>achievement("The Fountain of Dreams Extra!","Complete The Fountain of Dreams on extra", 10, trigger)</v>
      </c>
    </row>
    <row r="44" spans="1:1" x14ac:dyDescent="0.25">
      <c r="A44" s="7" t="str">
        <f t="shared" ca="1" si="0"/>
        <v>achievement("Frosty Bones!","Defeat the Frosty Bones in the level 2 arena without taking damage or using a copy ability", 5, trigger)</v>
      </c>
    </row>
    <row r="45" spans="1:1" x14ac:dyDescent="0.25">
      <c r="A45" s="7" t="str">
        <f t="shared" ca="1" si="0"/>
        <v>achievement("Waiu!","Defeat the Waiu in the level 3 arena without taking damage or using a copy ability", 5, trigger)</v>
      </c>
    </row>
    <row r="46" spans="1:1" x14ac:dyDescent="0.25">
      <c r="A46" s="7" t="str">
        <f t="shared" ca="1" si="0"/>
        <v>achievement("Mother Moth!","Defeat the Mother Moth in the level 4 arena without taking damage or using a copy ability", 5, trigger)</v>
      </c>
    </row>
    <row r="47" spans="1:1" x14ac:dyDescent="0.25">
      <c r="A47" s="7" t="str">
        <f t="shared" ca="1" si="0"/>
        <v>achievement("Bonkerstein!","Defeat the Bonkerstein in the level 5 arena without taking damage or using a copy ability", 5, trigger)</v>
      </c>
    </row>
    <row r="48" spans="1:1" x14ac:dyDescent="0.25">
      <c r="A48" s="7" t="str">
        <f t="shared" ca="1" si="0"/>
        <v>achievement("Fire Liger!","Defeat the Fire Liger in the level 6 arena without taking damage or using a copy ability", 5, trigger)</v>
      </c>
    </row>
    <row r="49" spans="1:1" x14ac:dyDescent="0.25">
      <c r="A49" s="7" t="str">
        <f t="shared" ca="1" si="0"/>
        <v>achievement("Yggy Woods Jr.!","Defeat Yggy Woods Jr. without taking damage or using a copy ability", 5, trigger)</v>
      </c>
    </row>
    <row r="50" spans="1:1" x14ac:dyDescent="0.25">
      <c r="A50" s="7" t="str">
        <f t="shared" ca="1" si="0"/>
        <v>achievement("Adeleine!","Defeat Adeleine without taking damage or using a copy ability", 5, trigger)</v>
      </c>
    </row>
    <row r="51" spans="1:1" x14ac:dyDescent="0.25">
      <c r="A51" s="7" t="str">
        <f t="shared" ca="1" si="0"/>
        <v>achievement("Mr Bright &amp; Mr Shine!","Defeat Mr Bright &amp; Mr Shine without taking damage or using a copy ability", 5, trigger)</v>
      </c>
    </row>
    <row r="52" spans="1:1" x14ac:dyDescent="0.25">
      <c r="A52" s="7" t="str">
        <f t="shared" ca="1" si="0"/>
        <v>achievement("Kracko's Revenge!","Defeat Kracko without taking damage or using a copy ability", 10, trigger)</v>
      </c>
    </row>
    <row r="53" spans="1:1" x14ac:dyDescent="0.25">
      <c r="A53" s="7" t="str">
        <f t="shared" ca="1" si="0"/>
        <v>achievement("Heavy Mole!","Defeat Heavy Mole without taking damage or using a copy ability", 10, trigger)</v>
      </c>
    </row>
    <row r="54" spans="1:1" x14ac:dyDescent="0.25">
      <c r="A54" s="7" t="str">
        <f t="shared" ca="1" si="0"/>
        <v>achievement("Tuxedo Meta Knight!","Defeat Tuxedo Knight without taking damage", 10, trigger)</v>
      </c>
    </row>
    <row r="55" spans="1:1" x14ac:dyDescent="0.25">
      <c r="A55" s="7" t="str">
        <f t="shared" ca="1" si="0"/>
        <v>achievement("Concerto Dedede!","Defeat King Dedede without taking damage or using a copy ability", 10, trigger)</v>
      </c>
    </row>
    <row r="56" spans="1:1" x14ac:dyDescent="0.25">
      <c r="A56" s="7" t="str">
        <f t="shared" ca="1" si="0"/>
        <v>achievement("Nightmare Angel!","Defeat the Nightmare Angel without taking damage", 10, trigger)</v>
      </c>
    </row>
    <row r="57" spans="1:1" s="7" customFormat="1" x14ac:dyDescent="0.25">
      <c r="A57" s="7" t="str">
        <f t="shared" ca="1" si="0"/>
        <v>achievement("Nightmare Reaper!","Defeat the Nightmare Reaper without taking damage", 10, trigger)</v>
      </c>
    </row>
    <row r="58" spans="1:1" ht="14.25" customHeight="1" x14ac:dyDescent="0.25">
      <c r="A58" s="7" t="str">
        <f t="shared" ca="1" si="0"/>
        <v>achievement("The Real Boss!","Defeat the all the bosses consecutively in V.S. Boss mode", 50, trigger)</v>
      </c>
    </row>
    <row r="59" spans="1:1" x14ac:dyDescent="0.25">
      <c r="A59" s="7" t="str">
        <f t="shared" ca="1" si="0"/>
        <v>achievement("Bonus Chance!","Collect the 1up bonus at the end of any level", 3, trigger)</v>
      </c>
    </row>
    <row r="60" spans="1:1" x14ac:dyDescent="0.25">
      <c r="A60" s="7" t="str">
        <f t="shared" ca="1" si="0"/>
        <v>achievement("Crane Fever!","Get 4 lives in the crane fever bonus on any difficulty", 5, trigger)</v>
      </c>
    </row>
    <row r="61" spans="1:1" x14ac:dyDescent="0.25">
      <c r="A61" s="7" t="str">
        <f t="shared" ca="1" si="0"/>
        <v>achievement("Egg Catcher!","Get 3 lives in the egg catcher bonus on any difficulty", 5, trigger)</v>
      </c>
    </row>
    <row r="62" spans="1:1" x14ac:dyDescent="0.25">
      <c r="A62" s="7" t="str">
        <f t="shared" ca="1" si="0"/>
        <v>achievement("Quick Draw!","Get 3 lives in the quick draw bonus on any difficulty", 5, trigger)</v>
      </c>
    </row>
    <row r="63" spans="1:1" x14ac:dyDescent="0.25">
      <c r="A63" s="7" t="str">
        <f t="shared" ca="1" si="0"/>
        <v>achievement("Pumpkin Path Challenge!","Start with or obtain the beam ability in the first section of 1-1 and complete the level without losing it", 3, trigger)</v>
      </c>
    </row>
    <row r="64" spans="1:1" x14ac:dyDescent="0.25">
      <c r="A64" s="7" t="str">
        <f t="shared" ca="1" si="0"/>
        <v>achievement("Summit Scares Diet!","Complete level 1-2 without swallowing anything or using copy abilities except on the first screen (items are allowed since they are nutritious)", 3, trigger)</v>
      </c>
    </row>
    <row r="65" spans="1:1" x14ac:dyDescent="0.25">
      <c r="A65" s="7" t="str">
        <f t="shared" ca="1" si="0"/>
        <v>achievement("Haunted Hills Race!","Complete level 1-3 in 80 seconds or less using only the burning and normal copy abilities", 5, trigger)</v>
      </c>
    </row>
    <row r="66" spans="1:1" x14ac:dyDescent="0.25">
      <c r="A66" s="7" t="str">
        <f t="shared" ca="1" si="0"/>
        <v>achievement("Fright Forest Challenge!","Start with or obtain the needle ability in the first section of 1-4 and complete the level without losing it", 4, trigger)</v>
      </c>
    </row>
    <row r="67" spans="1:1" x14ac:dyDescent="0.25">
      <c r="A67" s="7" t="str">
        <f t="shared" ca="1" si="0"/>
        <v>achievement("Skeleton Shore Diet!","Complete level 2-1 without swallowing anything or using copy abilities except on the first screen (items are allowed since they are nutritious)", 3, trigger)</v>
      </c>
    </row>
    <row r="68" spans="1:1" x14ac:dyDescent="0.25">
      <c r="A68" s="7" t="str">
        <f t="shared" ref="A68:A131" ca="1" si="1">"achievement("&amp;CHAR(34)&amp;INDIRECT("Achievements!C"&amp;(ROW()-1))&amp;CHAR(34)&amp;","&amp;CHAR(34)&amp;INDIRECT("Achievements!F"&amp;(ROW()-1))&amp;CHAR(34)&amp;", "&amp;INDIRECT("Achievements!E"&amp;(ROW()-1))&amp;", trigger)"</f>
        <v>achievement("Morning Mangrove Race!","Complete level 2-2 in 120 seconds or less using only the wheel and normal copy abilities", 5, trigger)</v>
      </c>
    </row>
    <row r="69" spans="1:1" x14ac:dyDescent="0.25">
      <c r="A69" s="7" t="str">
        <f t="shared" ca="1" si="1"/>
        <v>achievement("Sand Sea Challenge!","Start with the laser ability in 2-3 and complete the level without losing it", 10, trigger)</v>
      </c>
    </row>
    <row r="70" spans="1:1" x14ac:dyDescent="0.25">
      <c r="A70" s="7" t="str">
        <f t="shared" ca="1" si="1"/>
        <v>achievement("West Wilderness Challenge!","Start with or obtain the cutter ability in the first section of 2-4 and complete the level without losing it", 5, trigger)</v>
      </c>
    </row>
    <row r="71" spans="1:1" x14ac:dyDescent="0.25">
      <c r="A71" s="7" t="str">
        <f t="shared" ca="1" si="1"/>
        <v>achievement("Colorful Caverns Challenge!","Start with or obtain the sword ability in the first section of 2-5 and complete the level without losing it", 5, trigger)</v>
      </c>
    </row>
    <row r="72" spans="1:1" x14ac:dyDescent="0.25">
      <c r="A72" s="7" t="str">
        <f t="shared" ca="1" si="1"/>
        <v>achievement("Menacing Mansion Challenge!","Start with or obtain the parasol ability in the first section of 3-1 and complete the level without losing it", 5, trigger)</v>
      </c>
    </row>
    <row r="73" spans="1:1" x14ac:dyDescent="0.25">
      <c r="A73" s="7" t="str">
        <f t="shared" ca="1" si="1"/>
        <v>achievement("Aquarium Altars Challenge!","Start with or obtain the fire ability in the first section of 3-2 and complete the level without losing it", 5, trigger)</v>
      </c>
    </row>
    <row r="74" spans="1:1" x14ac:dyDescent="0.25">
      <c r="A74" s="7" t="str">
        <f t="shared" ca="1" si="1"/>
        <v>achievement("Phantom Pyramid Diet!","Complete level 3-3 without swallowing anything or using copy abilities except on the first screen (items are allowed since they are nutritious)", 5, trigger)</v>
      </c>
    </row>
    <row r="75" spans="1:1" x14ac:dyDescent="0.25">
      <c r="A75" s="7" t="str">
        <f t="shared" ca="1" si="1"/>
        <v>achievement("Flying Fortress Challenge!","Start with the throw ability in 3-4 and complete the level without losing it", 10, trigger)</v>
      </c>
    </row>
    <row r="76" spans="1:1" x14ac:dyDescent="0.25">
      <c r="A76" s="7" t="str">
        <f t="shared" ca="1" si="1"/>
        <v>achievement("Moonlight Memories Challenge!","Start with or obtain the spark ability in the second section of 3-5 and complete the level without losing it", 5, trigger)</v>
      </c>
    </row>
    <row r="77" spans="1:1" x14ac:dyDescent="0.25">
      <c r="A77" s="7" t="str">
        <f t="shared" ca="1" si="1"/>
        <v>achievement("Titanic Tower Race!","Complete level 3-6 in 300 seconds or less using only the burning and normal copy abilities", 10, trigger)</v>
      </c>
    </row>
    <row r="78" spans="1:1" x14ac:dyDescent="0.25">
      <c r="A78" s="7" t="str">
        <f t="shared" ca="1" si="1"/>
        <v>achievement("Tombstone Tunnel Race!","Complete level 4-1 in 300 seconds or less using only the tornado and normal copy abilities", 10, trigger)</v>
      </c>
    </row>
    <row r="79" spans="1:1" x14ac:dyDescent="0.25">
      <c r="A79" s="7" t="str">
        <f t="shared" ca="1" si="1"/>
        <v>achievement("Silent Streets Challenge!","Start with or obtain the ball ability in the third section of 4-2 and complete the level without losing it", 10, trigger)</v>
      </c>
    </row>
    <row r="80" spans="1:1" x14ac:dyDescent="0.25">
      <c r="A80" s="7" t="str">
        <f t="shared" ca="1" si="1"/>
        <v>achievement("Creepy Circus Challenge!","Start with or obtain the parasol ability in the second section of 4-3 and complete the level without losing it", 5, trigger)</v>
      </c>
    </row>
    <row r="81" spans="1:1" x14ac:dyDescent="0.25">
      <c r="A81" s="7" t="str">
        <f t="shared" ca="1" si="1"/>
        <v>achievement("Stardust Subway Challenge!","Start with or obtain the sword ability in the first section of 4-4 and complete the level without losing it", 5, trigger)</v>
      </c>
    </row>
    <row r="82" spans="1:1" x14ac:dyDescent="0.25">
      <c r="A82" s="7" t="str">
        <f t="shared" ca="1" si="1"/>
        <v>achievement("Macabre Museums Challenge!","Start with the wrestle ability in 4-5 and complete the level without losing it", 10, trigger)</v>
      </c>
    </row>
    <row r="83" spans="1:1" x14ac:dyDescent="0.25">
      <c r="A83" s="7" t="str">
        <f t="shared" ca="1" si="1"/>
        <v>achievement("Fun Factory Diet!","Complete level 4-6 without swallowing anything or using copy abilities except on the first screen (items are allowed since they are nutritious)", 5, trigger)</v>
      </c>
    </row>
    <row r="84" spans="1:1" x14ac:dyDescent="0.25">
      <c r="A84" s="7" t="str">
        <f t="shared" ca="1" si="1"/>
        <v>achievement("Shivery Sierra Challenge!","Start with or obtain the beam ability in the first section of 5-1 and complete the level without losing it", 5, trigger)</v>
      </c>
    </row>
    <row r="85" spans="1:1" x14ac:dyDescent="0.25">
      <c r="A85" s="7" t="str">
        <f t="shared" ca="1" si="1"/>
        <v>achievement("Magma Mountain Diet!","Complete level 5-2 without swallowing anything or using copy abilities except on the first screen (items are allowed since they are nutritious)", 5, trigger)</v>
      </c>
    </row>
    <row r="86" spans="1:1" x14ac:dyDescent="0.25">
      <c r="A86" s="7" t="str">
        <f t="shared" ca="1" si="1"/>
        <v>achievement("Woodland Warriors Race!","Complete level 5-3 in 300 seconds or less using only the tornado and normal copy abilities", 10, trigger)</v>
      </c>
    </row>
    <row r="87" spans="1:1" x14ac:dyDescent="0.25">
      <c r="A87" s="7" t="str">
        <f t="shared" ca="1" si="1"/>
        <v>achievement("Tempest Traintracks Challenge!","Start with or obtain the spark ability in the first section of 5-4 and complete the level without losing it", 5, trigger)</v>
      </c>
    </row>
    <row r="88" spans="1:1" x14ac:dyDescent="0.25">
      <c r="A88" s="7" t="str">
        <f t="shared" ca="1" si="1"/>
        <v>achievement("Desolate Division Challenge!","Start with or obtain the U.F.O. ability in the first section of 5-5 and complete the level without losing it", 5, trigger)</v>
      </c>
    </row>
    <row r="89" spans="1:1" x14ac:dyDescent="0.25">
      <c r="A89" s="7" t="str">
        <f t="shared" ca="1" si="1"/>
        <v>achievement("Fear Factory Challenge!","Start with or obtain the freeze ability in the first section of 5-6 and complete the level without losing it", 5, trigger)</v>
      </c>
    </row>
    <row r="90" spans="1:1" x14ac:dyDescent="0.25">
      <c r="A90" s="7" t="str">
        <f t="shared" ca="1" si="1"/>
        <v>achievement("Haunted Harbor Challenge!","Start with or obtain the hammer ability in the second section of 6-1 and complete the level without losing it", 5, trigger)</v>
      </c>
    </row>
    <row r="91" spans="1:1" x14ac:dyDescent="0.25">
      <c r="A91" s="7" t="str">
        <f t="shared" ca="1" si="1"/>
        <v>achievement("Olympic Odyssey Diet!","Complete level 6-2 without swallowing anything or using copy abilities except on the first screen (items are allowed since they are nutritious)", 5, trigger)</v>
      </c>
    </row>
    <row r="92" spans="1:1" x14ac:dyDescent="0.25">
      <c r="A92" s="7" t="str">
        <f t="shared" ca="1" si="1"/>
        <v>achievement("Sunken Shipwreck Challenge!","Start with or obtain the rock ability in the first section of 6-3 and complete the level without losing it", 5, trigger)</v>
      </c>
    </row>
    <row r="93" spans="1:1" x14ac:dyDescent="0.25">
      <c r="A93" s="7" t="str">
        <f t="shared" ca="1" si="1"/>
        <v>achievement("Eerie Ends Challenge!","Start with or obtain the ice ability in the first section of 6-4 and complete the level without losing it", 5, trigger)</v>
      </c>
    </row>
    <row r="94" spans="1:1" x14ac:dyDescent="0.25">
      <c r="A94" s="7" t="str">
        <f t="shared" ca="1" si="1"/>
        <v>achievement("Thermal Temple Race!","Complete level 6-5 in 300 seconds or less using only the burning and normal copy abilities", 10, trigger)</v>
      </c>
    </row>
    <row r="95" spans="1:1" x14ac:dyDescent="0.25">
      <c r="A95" s="7" t="str">
        <f t="shared" ca="1" si="1"/>
        <v>achievement("Pirate Poltergeist Challenge!","Start with or obtain the parasol ability in the first section of 6-6 and complete the level without losing it", 5, trigger)</v>
      </c>
    </row>
    <row r="96" spans="1:1" x14ac:dyDescent="0.25">
      <c r="A96" s="7" t="str">
        <f t="shared" ca="1" si="1"/>
        <v>achievement("Grassland Graveyard Challenge!","Start with or obtain the sword ability in the first section of 7-1 and complete the level without losing it", 5, trigger)</v>
      </c>
    </row>
    <row r="97" spans="1:1" x14ac:dyDescent="0.25">
      <c r="A97" s="7" t="str">
        <f t="shared" ca="1" si="1"/>
        <v>achievement("Abstract Arts Challenge!","Start with or obtain the beam ability in the first section of 7-2 and complete the level without losing it", 5, trigger)</v>
      </c>
    </row>
    <row r="98" spans="1:1" x14ac:dyDescent="0.25">
      <c r="A98" s="7" t="str">
        <f t="shared" ca="1" si="1"/>
        <v>achievement("Sinister Shadows Challenge!","Start with or obtain the cutter ability in the second section of 7-3 and complete the level without losing it", 5, trigger)</v>
      </c>
    </row>
    <row r="99" spans="1:1" x14ac:dyDescent="0.25">
      <c r="A99" s="7" t="str">
        <f t="shared" ca="1" si="1"/>
        <v>achievement("Cosmic Callbacks Race!","Complete level 7-4 in 300 seconds or less using only the wheel and normal copy abilities", 10, trigger)</v>
      </c>
    </row>
    <row r="100" spans="1:1" x14ac:dyDescent="0.25">
      <c r="A100" s="7" t="str">
        <f t="shared" ca="1" si="1"/>
        <v>achievement("Enchanted Express Diet!","Complete level 7-5 without swallowing anything or using copy abilities except on the first screen (items are allowed since they are nutritious)", 5, trigger)</v>
      </c>
    </row>
    <row r="101" spans="1:1" x14ac:dyDescent="0.25">
      <c r="A101" s="7" t="str">
        <f t="shared" ca="1" si="1"/>
        <v>achievement("Rainbow Islands Challenge!","Start with or obtain the hi-jump ability in the second section of 7-6 and complete the level without losing it", 5, trigger)</v>
      </c>
    </row>
    <row r="102" spans="1:1" x14ac:dyDescent="0.25">
      <c r="A102" s="7" t="str">
        <f t="shared" ca="1" si="1"/>
        <v>achievement("Terror Tower's Foundation!","Find the hidden switch in level 3-1", 1, trigger)</v>
      </c>
    </row>
    <row r="103" spans="1:1" x14ac:dyDescent="0.25">
      <c r="A103" s="7" t="str">
        <f t="shared" ca="1" si="1"/>
        <v>achievement("Terror Tower's Peak!","Find the hidden switch in level 3-6", 1, trigger)</v>
      </c>
    </row>
    <row r="104" spans="1:1" x14ac:dyDescent="0.25">
      <c r="A104" s="7" t="str">
        <f t="shared" ca="1" si="1"/>
        <v>achievement("Dead Man's Eye!","Find the hidden switch in level 4-1", 2, trigger)</v>
      </c>
    </row>
    <row r="105" spans="1:1" x14ac:dyDescent="0.25">
      <c r="A105" s="7" t="str">
        <f t="shared" ca="1" si="1"/>
        <v>achievement("Haunted Airship!","Find the hidden switch in level 4-3", 2, trigger)</v>
      </c>
    </row>
    <row r="106" spans="1:1" x14ac:dyDescent="0.25">
      <c r="A106" s="7" t="str">
        <f t="shared" ca="1" si="1"/>
        <v>achievement("The Dark Corners of Skull Street!","Find the hidden switch in level 4-6", 2, trigger)</v>
      </c>
    </row>
    <row r="107" spans="1:1" x14ac:dyDescent="0.25">
      <c r="A107" s="7" t="str">
        <f t="shared" ca="1" si="1"/>
        <v>achievement("Mount Mist Waterfall!","Find the hidden switch in level 5-1", 3, trigger)</v>
      </c>
    </row>
    <row r="108" spans="1:1" x14ac:dyDescent="0.25">
      <c r="A108" s="7" t="str">
        <f t="shared" ca="1" si="1"/>
        <v>achievement("Twilight Desert!","Find the hidden switch in level 5-4", 3, trigger)</v>
      </c>
    </row>
    <row r="109" spans="1:1" x14ac:dyDescent="0.25">
      <c r="A109" s="7" t="str">
        <f t="shared" ca="1" si="1"/>
        <v>achievement("Area 51!","Find the hidden switch in level 5-5", 3, trigger)</v>
      </c>
    </row>
    <row r="110" spans="1:1" x14ac:dyDescent="0.25">
      <c r="A110" s="7" t="str">
        <f t="shared" ca="1" si="1"/>
        <v>achievement("Storage Facility!","Find the hidden switch in level 5-6", 3, trigger)</v>
      </c>
    </row>
    <row r="111" spans="1:1" x14ac:dyDescent="0.25">
      <c r="A111" s="7" t="str">
        <f t="shared" ca="1" si="1"/>
        <v>achievement("Hidden Cargo Hold!","Find the hidden switch in level 6-1", 4, trigger)</v>
      </c>
    </row>
    <row r="112" spans="1:1" x14ac:dyDescent="0.25">
      <c r="A112" s="7" t="str">
        <f t="shared" ca="1" si="1"/>
        <v>achievement("Rock Bottom!","Find the hidden switch in level 6-2", 4, trigger)</v>
      </c>
    </row>
    <row r="113" spans="1:1" x14ac:dyDescent="0.25">
      <c r="A113" s="7" t="str">
        <f t="shared" ca="1" si="1"/>
        <v>achievement("Sunken Switch!","Find the hidden switch in level 6-3", 4, trigger)</v>
      </c>
    </row>
    <row r="114" spans="1:1" x14ac:dyDescent="0.25">
      <c r="A114" s="7" t="str">
        <f t="shared" ca="1" si="1"/>
        <v>achievement("Frozen Paradise!","Find the hidden switch in level 6-4", 4, trigger)</v>
      </c>
    </row>
    <row r="115" spans="1:1" x14ac:dyDescent="0.25">
      <c r="A115" s="7" t="str">
        <f t="shared" ca="1" si="1"/>
        <v>achievement("Lava Lake!","Find the hidden switch in level 6-5", 4, trigger)</v>
      </c>
    </row>
    <row r="116" spans="1:1" x14ac:dyDescent="0.25">
      <c r="A116" s="7" t="str">
        <f t="shared" ca="1" si="1"/>
        <v>achievement("Midnight Swim!","Find the hidden switch in level 6-6", 5, trigger)</v>
      </c>
    </row>
    <row r="117" spans="1:1" x14ac:dyDescent="0.25">
      <c r="A117" s="7" t="str">
        <f t="shared" ca="1" si="1"/>
        <v>achievement("Flooded Crypt!","Find the hidden switch in level 7-1", 5, trigger)</v>
      </c>
    </row>
    <row r="118" spans="1:1" x14ac:dyDescent="0.25">
      <c r="A118" s="7" t="str">
        <f t="shared" ca="1" si="1"/>
        <v>achievement("Retro Palace!","Find the hidden switch in level 7-6", 5, trigger)</v>
      </c>
    </row>
    <row r="119" spans="1:1" x14ac:dyDescent="0.25">
      <c r="A119" s="7" t="str">
        <f t="shared" ca="1" si="1"/>
        <v>achievement("","", , trigger)</v>
      </c>
    </row>
    <row r="120" spans="1:1" x14ac:dyDescent="0.25">
      <c r="A120" s="7" t="str">
        <f t="shared" ca="1" si="1"/>
        <v>achievement("","", , trigger)</v>
      </c>
    </row>
    <row r="121" spans="1:1" x14ac:dyDescent="0.25">
      <c r="A121" s="7" t="str">
        <f t="shared" ca="1" si="1"/>
        <v>achievement("","", , trigger)</v>
      </c>
    </row>
    <row r="122" spans="1:1" x14ac:dyDescent="0.25">
      <c r="A122" s="7" t="str">
        <f t="shared" ca="1" si="1"/>
        <v>achievement("","", , trigger)</v>
      </c>
    </row>
    <row r="123" spans="1:1" x14ac:dyDescent="0.25">
      <c r="A123" s="7" t="str">
        <f t="shared" ca="1" si="1"/>
        <v>achievement("","", , trigger)</v>
      </c>
    </row>
    <row r="124" spans="1:1" x14ac:dyDescent="0.25">
      <c r="A124" s="7" t="str">
        <f t="shared" ca="1" si="1"/>
        <v>achievement("","", , trigger)</v>
      </c>
    </row>
    <row r="125" spans="1:1" x14ac:dyDescent="0.25">
      <c r="A125" s="7" t="str">
        <f t="shared" ca="1" si="1"/>
        <v>achievement("","", , trigger)</v>
      </c>
    </row>
    <row r="126" spans="1:1" x14ac:dyDescent="0.25">
      <c r="A126" s="7" t="str">
        <f t="shared" ca="1" si="1"/>
        <v>achievement("","", , trigger)</v>
      </c>
    </row>
    <row r="127" spans="1:1" x14ac:dyDescent="0.25">
      <c r="A127" s="7" t="str">
        <f t="shared" ca="1" si="1"/>
        <v>achievement("","", , trigger)</v>
      </c>
    </row>
    <row r="128" spans="1:1" x14ac:dyDescent="0.25">
      <c r="A128" s="7" t="str">
        <f t="shared" ca="1" si="1"/>
        <v>achievement("","", , trigger)</v>
      </c>
    </row>
    <row r="129" spans="1:1" x14ac:dyDescent="0.25">
      <c r="A129" s="7" t="str">
        <f t="shared" ca="1" si="1"/>
        <v>achievement("","", , trigger)</v>
      </c>
    </row>
    <row r="130" spans="1:1" x14ac:dyDescent="0.25">
      <c r="A130" s="7" t="str">
        <f t="shared" ca="1" si="1"/>
        <v>achievement("","", , trigger)</v>
      </c>
    </row>
    <row r="131" spans="1:1" x14ac:dyDescent="0.25">
      <c r="A131" s="7" t="str">
        <f t="shared" ca="1" si="1"/>
        <v>achievement("","", , trigger)</v>
      </c>
    </row>
    <row r="132" spans="1:1" x14ac:dyDescent="0.25">
      <c r="A132" s="7" t="str">
        <f t="shared" ref="A132:A195" ca="1" si="2">"achievement("&amp;CHAR(34)&amp;INDIRECT("Achievements!C"&amp;(ROW()-1))&amp;CHAR(34)&amp;","&amp;CHAR(34)&amp;INDIRECT("Achievements!F"&amp;(ROW()-1))&amp;CHAR(34)&amp;", "&amp;INDIRECT("Achievements!E"&amp;(ROW()-1))&amp;", trigger)"</f>
        <v>achievement("","", , trigger)</v>
      </c>
    </row>
    <row r="133" spans="1:1" x14ac:dyDescent="0.25">
      <c r="A133" s="7" t="str">
        <f t="shared" ca="1" si="2"/>
        <v>achievement("","", , trigger)</v>
      </c>
    </row>
    <row r="134" spans="1:1" x14ac:dyDescent="0.25">
      <c r="A134" s="7" t="str">
        <f t="shared" ca="1" si="2"/>
        <v>achievement("","", , trigger)</v>
      </c>
    </row>
    <row r="135" spans="1:1" x14ac:dyDescent="0.25">
      <c r="A135" s="7" t="str">
        <f t="shared" ca="1" si="2"/>
        <v>achievement("","", , trigger)</v>
      </c>
    </row>
    <row r="136" spans="1:1" x14ac:dyDescent="0.25">
      <c r="A136" s="7" t="str">
        <f t="shared" ca="1" si="2"/>
        <v>achievement("","", , trigger)</v>
      </c>
    </row>
    <row r="137" spans="1:1" x14ac:dyDescent="0.25">
      <c r="A137" s="7" t="str">
        <f t="shared" ca="1" si="2"/>
        <v>achievement("","", , trigger)</v>
      </c>
    </row>
    <row r="138" spans="1:1" x14ac:dyDescent="0.25">
      <c r="A138" s="7" t="str">
        <f t="shared" ca="1" si="2"/>
        <v>achievement("","", , trigger)</v>
      </c>
    </row>
    <row r="139" spans="1:1" x14ac:dyDescent="0.25">
      <c r="A139" s="7" t="str">
        <f t="shared" ca="1" si="2"/>
        <v>achievement("","", , trigger)</v>
      </c>
    </row>
    <row r="140" spans="1:1" x14ac:dyDescent="0.25">
      <c r="A140" s="7" t="str">
        <f t="shared" ca="1" si="2"/>
        <v>achievement("","", , trigger)</v>
      </c>
    </row>
    <row r="141" spans="1:1" x14ac:dyDescent="0.25">
      <c r="A141" s="7" t="str">
        <f t="shared" ca="1" si="2"/>
        <v>achievement("","", , trigger)</v>
      </c>
    </row>
    <row r="142" spans="1:1" x14ac:dyDescent="0.25">
      <c r="A142" s="7" t="str">
        <f t="shared" ca="1" si="2"/>
        <v>achievement("","", , trigger)</v>
      </c>
    </row>
    <row r="143" spans="1:1" x14ac:dyDescent="0.25">
      <c r="A143" s="7" t="str">
        <f t="shared" ca="1" si="2"/>
        <v>achievement("","", , trigger)</v>
      </c>
    </row>
    <row r="144" spans="1:1" x14ac:dyDescent="0.25">
      <c r="A144" s="7" t="str">
        <f t="shared" ca="1" si="2"/>
        <v>achievement("","", , trigger)</v>
      </c>
    </row>
    <row r="145" spans="1:1" x14ac:dyDescent="0.25">
      <c r="A145" s="7" t="str">
        <f t="shared" ca="1" si="2"/>
        <v>achievement("","", , trigger)</v>
      </c>
    </row>
    <row r="146" spans="1:1" x14ac:dyDescent="0.25">
      <c r="A146" s="7" t="str">
        <f t="shared" ca="1" si="2"/>
        <v>achievement("","", , trigger)</v>
      </c>
    </row>
    <row r="147" spans="1:1" x14ac:dyDescent="0.25">
      <c r="A147" s="7" t="str">
        <f t="shared" ca="1" si="2"/>
        <v>achievement("","", , trigger)</v>
      </c>
    </row>
    <row r="148" spans="1:1" x14ac:dyDescent="0.25">
      <c r="A148" s="7" t="str">
        <f t="shared" ca="1" si="2"/>
        <v>achievement("","", , trigger)</v>
      </c>
    </row>
    <row r="149" spans="1:1" x14ac:dyDescent="0.25">
      <c r="A149" s="7" t="str">
        <f t="shared" ca="1" si="2"/>
        <v>achievement("","", , trigger)</v>
      </c>
    </row>
    <row r="150" spans="1:1" x14ac:dyDescent="0.25">
      <c r="A150" s="7" t="str">
        <f t="shared" ca="1" si="2"/>
        <v>achievement("","", , trigger)</v>
      </c>
    </row>
    <row r="151" spans="1:1" x14ac:dyDescent="0.25">
      <c r="A151" s="7" t="str">
        <f t="shared" ca="1" si="2"/>
        <v>achievement("","", , trigger)</v>
      </c>
    </row>
    <row r="152" spans="1:1" x14ac:dyDescent="0.25">
      <c r="A152" s="7" t="str">
        <f t="shared" ca="1" si="2"/>
        <v>achievement("","", , trigger)</v>
      </c>
    </row>
    <row r="153" spans="1:1" x14ac:dyDescent="0.25">
      <c r="A153" s="7" t="str">
        <f t="shared" ca="1" si="2"/>
        <v>achievement("","", , trigger)</v>
      </c>
    </row>
    <row r="154" spans="1:1" x14ac:dyDescent="0.25">
      <c r="A154" s="7" t="str">
        <f t="shared" ca="1" si="2"/>
        <v>achievement("","", , trigger)</v>
      </c>
    </row>
    <row r="155" spans="1:1" x14ac:dyDescent="0.25">
      <c r="A155" s="7" t="str">
        <f t="shared" ca="1" si="2"/>
        <v>achievement("","", , trigger)</v>
      </c>
    </row>
    <row r="156" spans="1:1" x14ac:dyDescent="0.25">
      <c r="A156" s="7" t="str">
        <f t="shared" ca="1" si="2"/>
        <v>achievement("","", , trigger)</v>
      </c>
    </row>
    <row r="157" spans="1:1" x14ac:dyDescent="0.25">
      <c r="A157" s="7" t="str">
        <f t="shared" ca="1" si="2"/>
        <v>achievement("","", , trigger)</v>
      </c>
    </row>
    <row r="158" spans="1:1" x14ac:dyDescent="0.25">
      <c r="A158" s="7" t="str">
        <f t="shared" ca="1" si="2"/>
        <v>achievement("","", , trigger)</v>
      </c>
    </row>
    <row r="159" spans="1:1" x14ac:dyDescent="0.25">
      <c r="A159" s="7" t="str">
        <f t="shared" ca="1" si="2"/>
        <v>achievement("","", , trigger)</v>
      </c>
    </row>
    <row r="160" spans="1:1" x14ac:dyDescent="0.25">
      <c r="A160" s="7" t="str">
        <f t="shared" ca="1" si="2"/>
        <v>achievement("","", , trigger)</v>
      </c>
    </row>
    <row r="161" spans="1:1" x14ac:dyDescent="0.25">
      <c r="A161" s="7" t="str">
        <f t="shared" ca="1" si="2"/>
        <v>achievement("","", , trigger)</v>
      </c>
    </row>
    <row r="162" spans="1:1" x14ac:dyDescent="0.25">
      <c r="A162" s="7" t="str">
        <f t="shared" ca="1" si="2"/>
        <v>achievement("","", , trigger)</v>
      </c>
    </row>
    <row r="163" spans="1:1" x14ac:dyDescent="0.25">
      <c r="A163" s="7" t="str">
        <f t="shared" ca="1" si="2"/>
        <v>achievement("","", , trigger)</v>
      </c>
    </row>
    <row r="164" spans="1:1" x14ac:dyDescent="0.25">
      <c r="A164" s="7" t="str">
        <f t="shared" ca="1" si="2"/>
        <v>achievement("","", , trigger)</v>
      </c>
    </row>
    <row r="165" spans="1:1" x14ac:dyDescent="0.25">
      <c r="A165" s="7" t="str">
        <f t="shared" ca="1" si="2"/>
        <v>achievement("","", , trigger)</v>
      </c>
    </row>
    <row r="166" spans="1:1" x14ac:dyDescent="0.25">
      <c r="A166" s="7" t="str">
        <f t="shared" ca="1" si="2"/>
        <v>achievement("","", , trigger)</v>
      </c>
    </row>
    <row r="167" spans="1:1" x14ac:dyDescent="0.25">
      <c r="A167" s="7" t="str">
        <f t="shared" ca="1" si="2"/>
        <v>achievement("","", , trigger)</v>
      </c>
    </row>
    <row r="168" spans="1:1" x14ac:dyDescent="0.25">
      <c r="A168" s="7" t="str">
        <f t="shared" ca="1" si="2"/>
        <v>achievement("","", , trigger)</v>
      </c>
    </row>
    <row r="169" spans="1:1" x14ac:dyDescent="0.25">
      <c r="A169" s="7" t="str">
        <f t="shared" ca="1" si="2"/>
        <v>achievement("","", , trigger)</v>
      </c>
    </row>
    <row r="170" spans="1:1" x14ac:dyDescent="0.25">
      <c r="A170" s="7" t="str">
        <f t="shared" ca="1" si="2"/>
        <v>achievement("","", , trigger)</v>
      </c>
    </row>
    <row r="171" spans="1:1" x14ac:dyDescent="0.25">
      <c r="A171" s="7" t="str">
        <f t="shared" ca="1" si="2"/>
        <v>achievement("","", , trigger)</v>
      </c>
    </row>
    <row r="172" spans="1:1" x14ac:dyDescent="0.25">
      <c r="A172" s="7" t="str">
        <f t="shared" ca="1" si="2"/>
        <v>achievement("","", , trigger)</v>
      </c>
    </row>
    <row r="173" spans="1:1" x14ac:dyDescent="0.25">
      <c r="A173" s="7" t="str">
        <f t="shared" ca="1" si="2"/>
        <v>achievement("","", , trigger)</v>
      </c>
    </row>
    <row r="174" spans="1:1" x14ac:dyDescent="0.25">
      <c r="A174" s="7" t="str">
        <f t="shared" ca="1" si="2"/>
        <v>achievement("","", , trigger)</v>
      </c>
    </row>
    <row r="175" spans="1:1" x14ac:dyDescent="0.25">
      <c r="A175" s="7" t="str">
        <f t="shared" ca="1" si="2"/>
        <v>achievement("","", , trigger)</v>
      </c>
    </row>
    <row r="176" spans="1:1" x14ac:dyDescent="0.25">
      <c r="A176" s="7" t="str">
        <f t="shared" ca="1" si="2"/>
        <v>achievement("","", , trigger)</v>
      </c>
    </row>
    <row r="177" spans="1:1" x14ac:dyDescent="0.25">
      <c r="A177" s="7" t="str">
        <f t="shared" ca="1" si="2"/>
        <v>achievement("","", , trigger)</v>
      </c>
    </row>
    <row r="178" spans="1:1" x14ac:dyDescent="0.25">
      <c r="A178" s="7" t="str">
        <f t="shared" ca="1" si="2"/>
        <v>achievement("","", , trigger)</v>
      </c>
    </row>
    <row r="179" spans="1:1" x14ac:dyDescent="0.25">
      <c r="A179" s="7" t="str">
        <f t="shared" ca="1" si="2"/>
        <v>achievement("","", , trigger)</v>
      </c>
    </row>
    <row r="180" spans="1:1" x14ac:dyDescent="0.25">
      <c r="A180" s="7" t="str">
        <f t="shared" ca="1" si="2"/>
        <v>achievement("","", , trigger)</v>
      </c>
    </row>
    <row r="181" spans="1:1" x14ac:dyDescent="0.25">
      <c r="A181" s="7" t="str">
        <f t="shared" ca="1" si="2"/>
        <v>achievement("","", , trigger)</v>
      </c>
    </row>
    <row r="182" spans="1:1" x14ac:dyDescent="0.25">
      <c r="A182" s="7" t="str">
        <f t="shared" ca="1" si="2"/>
        <v>achievement("","", , trigger)</v>
      </c>
    </row>
    <row r="183" spans="1:1" x14ac:dyDescent="0.25">
      <c r="A183" s="7" t="str">
        <f t="shared" ca="1" si="2"/>
        <v>achievement("","", , trigger)</v>
      </c>
    </row>
    <row r="184" spans="1:1" x14ac:dyDescent="0.25">
      <c r="A184" s="7" t="str">
        <f t="shared" ca="1" si="2"/>
        <v>achievement("","", , trigger)</v>
      </c>
    </row>
    <row r="185" spans="1:1" x14ac:dyDescent="0.25">
      <c r="A185" s="7" t="str">
        <f t="shared" ca="1" si="2"/>
        <v>achievement("","", , trigger)</v>
      </c>
    </row>
    <row r="186" spans="1:1" x14ac:dyDescent="0.25">
      <c r="A186" s="7" t="str">
        <f t="shared" ca="1" si="2"/>
        <v>achievement("","", , trigger)</v>
      </c>
    </row>
    <row r="187" spans="1:1" x14ac:dyDescent="0.25">
      <c r="A187" s="7" t="str">
        <f t="shared" ca="1" si="2"/>
        <v>achievement("","", , trigger)</v>
      </c>
    </row>
    <row r="188" spans="1:1" x14ac:dyDescent="0.25">
      <c r="A188" s="7" t="str">
        <f t="shared" ca="1" si="2"/>
        <v>achievement("","", , trigger)</v>
      </c>
    </row>
    <row r="189" spans="1:1" x14ac:dyDescent="0.25">
      <c r="A189" s="7" t="str">
        <f t="shared" ca="1" si="2"/>
        <v>achievement("","", , trigger)</v>
      </c>
    </row>
    <row r="190" spans="1:1" x14ac:dyDescent="0.25">
      <c r="A190" s="7" t="str">
        <f t="shared" ca="1" si="2"/>
        <v>achievement("","", , trigger)</v>
      </c>
    </row>
    <row r="191" spans="1:1" x14ac:dyDescent="0.25">
      <c r="A191" s="7" t="str">
        <f t="shared" ca="1" si="2"/>
        <v>achievement("","", , trigger)</v>
      </c>
    </row>
    <row r="192" spans="1:1" x14ac:dyDescent="0.25">
      <c r="A192" s="7" t="str">
        <f t="shared" ca="1" si="2"/>
        <v>achievement("","", , trigger)</v>
      </c>
    </row>
    <row r="193" spans="1:1" x14ac:dyDescent="0.25">
      <c r="A193" s="7" t="str">
        <f t="shared" ca="1" si="2"/>
        <v>achievement("","", , trigger)</v>
      </c>
    </row>
    <row r="194" spans="1:1" x14ac:dyDescent="0.25">
      <c r="A194" s="7" t="str">
        <f t="shared" ca="1" si="2"/>
        <v>achievement("","", , trigger)</v>
      </c>
    </row>
    <row r="195" spans="1:1" x14ac:dyDescent="0.25">
      <c r="A195" s="7" t="str">
        <f t="shared" ca="1" si="2"/>
        <v>achievement("","", , trigger)</v>
      </c>
    </row>
    <row r="196" spans="1:1" x14ac:dyDescent="0.25">
      <c r="A196" s="7" t="str">
        <f t="shared" ref="A196" ca="1" si="3">"achievement("&amp;CHAR(34)&amp;INDIRECT("Achievements!C"&amp;(ROW()-1))&amp;CHAR(34)&amp;","&amp;CHAR(34)&amp;INDIRECT("Achievements!F"&amp;(ROW()-1))&amp;CHAR(34)&amp;", "&amp;INDIRECT("Achievements!E"&amp;(ROW()-1))&amp;", trigger)"</f>
        <v>achievement("","", , trigger)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"/>
  <sheetViews>
    <sheetView workbookViewId="0">
      <selection activeCell="A10" sqref="A10"/>
    </sheetView>
  </sheetViews>
  <sheetFormatPr defaultRowHeight="15" x14ac:dyDescent="0.25"/>
  <cols>
    <col min="1" max="1" width="11" bestFit="1" customWidth="1"/>
    <col min="5" max="5" width="10.42578125" bestFit="1" customWidth="1"/>
    <col min="12" max="12" width="2" bestFit="1" customWidth="1"/>
  </cols>
  <sheetData>
    <row r="1" spans="1:13" x14ac:dyDescent="0.25">
      <c r="A1" s="8" t="s">
        <v>29</v>
      </c>
      <c r="B1" s="1" t="s">
        <v>3</v>
      </c>
      <c r="C1" s="1" t="s">
        <v>6</v>
      </c>
      <c r="E1" s="1" t="s">
        <v>4</v>
      </c>
      <c r="F1" s="1" t="s">
        <v>6</v>
      </c>
      <c r="G1" s="1" t="s">
        <v>3</v>
      </c>
      <c r="I1" s="1" t="s">
        <v>48</v>
      </c>
      <c r="J1" s="1" t="s">
        <v>6</v>
      </c>
      <c r="L1" s="1" t="s">
        <v>30</v>
      </c>
      <c r="M1" s="1" t="s">
        <v>514</v>
      </c>
    </row>
    <row r="2" spans="1:13" x14ac:dyDescent="0.25">
      <c r="A2" s="1" t="s">
        <v>14</v>
      </c>
      <c r="B2" s="1">
        <v>0</v>
      </c>
      <c r="C2">
        <f>COUNTIF(Achievements!D:D,A2)</f>
        <v>0</v>
      </c>
      <c r="E2" s="8" t="s">
        <v>27</v>
      </c>
      <c r="F2" s="4">
        <f>COUNTIF(Achievements!B:B,E2)</f>
        <v>16</v>
      </c>
      <c r="G2" s="7">
        <f>SUMIF(Achievements!B:B,E2,Achievements!E:E)</f>
        <v>120</v>
      </c>
      <c r="I2" t="s">
        <v>219</v>
      </c>
      <c r="J2" s="4">
        <f>COUNTIF(Achievements!J:J,I2)</f>
        <v>2</v>
      </c>
      <c r="L2">
        <v>0</v>
      </c>
      <c r="M2" t="s">
        <v>253</v>
      </c>
    </row>
    <row r="3" spans="1:13" x14ac:dyDescent="0.25">
      <c r="A3" t="s">
        <v>8</v>
      </c>
      <c r="B3">
        <v>1</v>
      </c>
      <c r="C3">
        <f>COUNTIF(Achievements!D:D,A3)</f>
        <v>27</v>
      </c>
      <c r="E3" s="8" t="s">
        <v>48</v>
      </c>
      <c r="F3" s="4">
        <f>COUNTIF(Achievements!B:B,E3)</f>
        <v>25</v>
      </c>
      <c r="G3" s="7">
        <f>SUMIF(Achievements!B:B,E3,Achievements!E:E)</f>
        <v>25</v>
      </c>
      <c r="I3" t="s">
        <v>178</v>
      </c>
      <c r="J3" s="4">
        <f>COUNTIF(Achievements!J:J,I3)</f>
        <v>2</v>
      </c>
      <c r="L3">
        <v>1</v>
      </c>
      <c r="M3" s="7" t="s">
        <v>181</v>
      </c>
    </row>
    <row r="4" spans="1:13" x14ac:dyDescent="0.25">
      <c r="A4" t="s">
        <v>16</v>
      </c>
      <c r="B4">
        <v>2</v>
      </c>
      <c r="C4">
        <f>COUNTIF(Achievements!D:D,A4)</f>
        <v>3</v>
      </c>
      <c r="E4" s="8" t="s">
        <v>29</v>
      </c>
      <c r="F4" s="4">
        <f>COUNTIF(Achievements!B:B,E4)</f>
        <v>15</v>
      </c>
      <c r="G4" s="7">
        <f>SUMIF(Achievements!B:B,E4,Achievements!E:E)</f>
        <v>150</v>
      </c>
      <c r="I4" t="s">
        <v>184</v>
      </c>
      <c r="J4" s="4">
        <f>COUNTIF(Achievements!J:J,I4)</f>
        <v>3</v>
      </c>
      <c r="L4" s="7">
        <v>2</v>
      </c>
      <c r="M4" s="7" t="s">
        <v>182</v>
      </c>
    </row>
    <row r="5" spans="1:13" x14ac:dyDescent="0.25">
      <c r="A5" t="s">
        <v>9</v>
      </c>
      <c r="B5">
        <v>3</v>
      </c>
      <c r="C5">
        <f>COUNTIF(Achievements!D:D,A5)</f>
        <v>8</v>
      </c>
      <c r="E5" s="8" t="s">
        <v>53</v>
      </c>
      <c r="F5" s="4">
        <f>COUNTIF(Achievements!B:B,E5)</f>
        <v>4</v>
      </c>
      <c r="G5" s="7">
        <f>SUMIF(Achievements!B:B,E5,Achievements!E:E)</f>
        <v>18</v>
      </c>
      <c r="I5" t="s">
        <v>175</v>
      </c>
      <c r="J5" s="4">
        <f>COUNTIF(Achievements!J:J,I5)</f>
        <v>3</v>
      </c>
      <c r="L5" s="7">
        <v>3</v>
      </c>
      <c r="M5" s="7" t="s">
        <v>192</v>
      </c>
    </row>
    <row r="6" spans="1:13" x14ac:dyDescent="0.25">
      <c r="A6" t="s">
        <v>10</v>
      </c>
      <c r="B6">
        <v>4</v>
      </c>
      <c r="C6">
        <f>COUNTIF(Achievements!D:D,A6)</f>
        <v>6</v>
      </c>
      <c r="E6" s="8" t="s">
        <v>174</v>
      </c>
      <c r="F6" s="4">
        <f>COUNTIF(Achievements!B:B,E6)</f>
        <v>39</v>
      </c>
      <c r="G6" s="7">
        <f>SUMIF(Achievements!B:B,E6,Achievements!E:E)</f>
        <v>233</v>
      </c>
      <c r="I6" t="s">
        <v>256</v>
      </c>
      <c r="J6" s="4">
        <f>COUNTIF(Achievements!J:J,I6)</f>
        <v>1</v>
      </c>
      <c r="L6" s="7">
        <v>4</v>
      </c>
      <c r="M6" s="7" t="s">
        <v>189</v>
      </c>
    </row>
    <row r="7" spans="1:13" x14ac:dyDescent="0.25">
      <c r="A7" t="s">
        <v>11</v>
      </c>
      <c r="B7">
        <v>5</v>
      </c>
      <c r="C7">
        <f>COUNTIF(Achievements!D:D,A7)</f>
        <v>48</v>
      </c>
      <c r="E7" s="8" t="s">
        <v>62</v>
      </c>
      <c r="F7" s="4">
        <f>COUNTIF(Achievements!B:B,E7)</f>
        <v>17</v>
      </c>
      <c r="G7" s="7">
        <f>SUMIF(Achievements!B:B,E7,Achievements!E:E)</f>
        <v>55</v>
      </c>
      <c r="I7" t="s">
        <v>260</v>
      </c>
      <c r="J7" s="4">
        <f>COUNTIF(Achievements!J:J,I7)</f>
        <v>0</v>
      </c>
      <c r="L7" s="7">
        <v>5</v>
      </c>
      <c r="M7" t="s">
        <v>515</v>
      </c>
    </row>
    <row r="8" spans="1:13" x14ac:dyDescent="0.25">
      <c r="A8" t="s">
        <v>12</v>
      </c>
      <c r="B8">
        <v>10</v>
      </c>
      <c r="C8">
        <f>COUNTIF(Achievements!D:D,A8)</f>
        <v>23</v>
      </c>
      <c r="E8" s="2" t="s">
        <v>5</v>
      </c>
      <c r="F8" s="3">
        <f>SUM(F2:F7)</f>
        <v>116</v>
      </c>
      <c r="G8" s="3">
        <f>SUM(G2:G7)</f>
        <v>601</v>
      </c>
      <c r="I8" t="s">
        <v>198</v>
      </c>
      <c r="J8" s="4">
        <f>COUNTIF(Achievements!J:J,I8)</f>
        <v>2</v>
      </c>
      <c r="L8" s="7">
        <v>6</v>
      </c>
      <c r="M8" t="s">
        <v>516</v>
      </c>
    </row>
    <row r="9" spans="1:13" x14ac:dyDescent="0.25">
      <c r="A9" s="7" t="s">
        <v>13</v>
      </c>
      <c r="B9" s="7">
        <v>25</v>
      </c>
      <c r="C9" s="7">
        <f>COUNTIF(Achievements!D:D,A9)</f>
        <v>0</v>
      </c>
      <c r="I9" t="s">
        <v>203</v>
      </c>
      <c r="J9" s="4">
        <f>COUNTIF(Achievements!J:J,I9)</f>
        <v>1</v>
      </c>
      <c r="L9" s="7">
        <v>7</v>
      </c>
      <c r="M9" t="s">
        <v>517</v>
      </c>
    </row>
    <row r="10" spans="1:13" x14ac:dyDescent="0.25">
      <c r="A10" t="s">
        <v>28</v>
      </c>
      <c r="B10">
        <v>50</v>
      </c>
      <c r="C10">
        <f>COUNTIF(Achievements!D:D,A10)</f>
        <v>1</v>
      </c>
      <c r="I10" t="s">
        <v>183</v>
      </c>
      <c r="J10" s="4">
        <f>COUNTIF(Achievements!J:J,I10)</f>
        <v>3</v>
      </c>
      <c r="L10" s="7">
        <v>8</v>
      </c>
      <c r="M10" t="s">
        <v>519</v>
      </c>
    </row>
    <row r="11" spans="1:13" x14ac:dyDescent="0.25">
      <c r="A11" s="2" t="s">
        <v>5</v>
      </c>
      <c r="B11" s="3"/>
      <c r="C11" s="3">
        <f>SUM(C2:C10)</f>
        <v>116</v>
      </c>
      <c r="I11" t="s">
        <v>261</v>
      </c>
      <c r="J11" s="4">
        <f>COUNTIF(Achievements!J:J,I11)</f>
        <v>0</v>
      </c>
      <c r="L11" s="7">
        <v>9</v>
      </c>
      <c r="M11" t="s">
        <v>518</v>
      </c>
    </row>
    <row r="12" spans="1:13" x14ac:dyDescent="0.25">
      <c r="I12" t="s">
        <v>217</v>
      </c>
      <c r="J12" s="4">
        <f>COUNTIF(Achievements!J:J,I12)</f>
        <v>1</v>
      </c>
    </row>
    <row r="13" spans="1:13" x14ac:dyDescent="0.25">
      <c r="I13" t="s">
        <v>205</v>
      </c>
      <c r="J13" s="4">
        <f>COUNTIF(Achievements!J:J,I13)</f>
        <v>1</v>
      </c>
    </row>
    <row r="14" spans="1:13" x14ac:dyDescent="0.25">
      <c r="I14" t="s">
        <v>220</v>
      </c>
      <c r="J14" s="4">
        <f>COUNTIF(Achievements!J:J,I14)</f>
        <v>1</v>
      </c>
    </row>
    <row r="15" spans="1:13" x14ac:dyDescent="0.25">
      <c r="I15" t="s">
        <v>210</v>
      </c>
      <c r="J15" s="4">
        <f>COUNTIF(Achievements!J:J,I15)</f>
        <v>1</v>
      </c>
    </row>
    <row r="16" spans="1:13" x14ac:dyDescent="0.25">
      <c r="I16" t="s">
        <v>191</v>
      </c>
      <c r="J16" s="4">
        <f>COUNTIF(Achievements!J:J,I16)</f>
        <v>3</v>
      </c>
    </row>
    <row r="17" spans="9:10" x14ac:dyDescent="0.25">
      <c r="I17" t="s">
        <v>185</v>
      </c>
      <c r="J17" s="4">
        <f>COUNTIF(Achievements!J:J,I17)</f>
        <v>1</v>
      </c>
    </row>
    <row r="18" spans="9:10" x14ac:dyDescent="0.25">
      <c r="I18" t="s">
        <v>218</v>
      </c>
      <c r="J18" s="4">
        <f>COUNTIF(Achievements!J:J,I18)</f>
        <v>1</v>
      </c>
    </row>
    <row r="19" spans="9:10" x14ac:dyDescent="0.25">
      <c r="I19" t="s">
        <v>221</v>
      </c>
      <c r="J19" s="4">
        <f>COUNTIF(Achievements!J:J,I19)</f>
        <v>2</v>
      </c>
    </row>
    <row r="20" spans="9:10" x14ac:dyDescent="0.25">
      <c r="I20" t="s">
        <v>262</v>
      </c>
      <c r="J20" s="4">
        <f>COUNTIF(Achievements!J:J,I20)</f>
        <v>0</v>
      </c>
    </row>
    <row r="21" spans="9:10" x14ac:dyDescent="0.25">
      <c r="I21" t="s">
        <v>263</v>
      </c>
      <c r="J21" s="4">
        <f>COUNTIF(Achievements!J:J,I21)</f>
        <v>0</v>
      </c>
    </row>
    <row r="22" spans="9:10" x14ac:dyDescent="0.25">
      <c r="I22" t="s">
        <v>255</v>
      </c>
      <c r="J22" s="4">
        <f>COUNTIF(Achievements!J:J,I22)</f>
        <v>1</v>
      </c>
    </row>
    <row r="23" spans="9:10" x14ac:dyDescent="0.25">
      <c r="I23" t="s">
        <v>254</v>
      </c>
      <c r="J23" s="4">
        <f>COUNTIF(Achievements!J:J,I23)</f>
        <v>1</v>
      </c>
    </row>
    <row r="24" spans="9:10" x14ac:dyDescent="0.25">
      <c r="I24" t="s">
        <v>248</v>
      </c>
      <c r="J24" s="4">
        <f>COUNTIF(Achievements!J:J,I24)</f>
        <v>1</v>
      </c>
    </row>
    <row r="25" spans="9:10" x14ac:dyDescent="0.25">
      <c r="I25" t="s">
        <v>264</v>
      </c>
      <c r="J25" s="4">
        <f>COUNTIF(Achievements!J:J,I25)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22"/>
  <sheetViews>
    <sheetView workbookViewId="0"/>
  </sheetViews>
  <sheetFormatPr defaultRowHeight="15" x14ac:dyDescent="0.25"/>
  <cols>
    <col min="1" max="1" width="3" bestFit="1" customWidth="1"/>
    <col min="2" max="21" width="6" bestFit="1" customWidth="1"/>
  </cols>
  <sheetData>
    <row r="1" spans="1:22" x14ac:dyDescent="0.25">
      <c r="A1" t="s">
        <v>19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s="7">
        <v>9</v>
      </c>
      <c r="L1" s="7">
        <v>10</v>
      </c>
      <c r="M1" s="7">
        <v>11</v>
      </c>
      <c r="N1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/>
    </row>
    <row r="2" spans="1:22" x14ac:dyDescent="0.25">
      <c r="A2">
        <v>0</v>
      </c>
      <c r="B2">
        <v>38912</v>
      </c>
      <c r="C2" s="7">
        <f>B2+1</f>
        <v>38913</v>
      </c>
      <c r="D2" s="7">
        <f t="shared" ref="D2:U5" si="0">C2+1</f>
        <v>38914</v>
      </c>
      <c r="E2" s="7">
        <f t="shared" si="0"/>
        <v>38915</v>
      </c>
      <c r="F2" s="7">
        <f t="shared" si="0"/>
        <v>38916</v>
      </c>
      <c r="G2" s="7">
        <f t="shared" si="0"/>
        <v>38917</v>
      </c>
      <c r="H2" s="7">
        <f t="shared" si="0"/>
        <v>38918</v>
      </c>
      <c r="I2" s="7">
        <f t="shared" si="0"/>
        <v>38919</v>
      </c>
      <c r="J2" s="7">
        <f t="shared" si="0"/>
        <v>38920</v>
      </c>
      <c r="K2" s="7">
        <f t="shared" si="0"/>
        <v>38921</v>
      </c>
      <c r="L2" s="7">
        <f t="shared" si="0"/>
        <v>38922</v>
      </c>
      <c r="M2" s="7">
        <f t="shared" si="0"/>
        <v>38923</v>
      </c>
      <c r="N2" s="7">
        <f t="shared" si="0"/>
        <v>38924</v>
      </c>
      <c r="O2" s="7">
        <f t="shared" si="0"/>
        <v>38925</v>
      </c>
      <c r="P2" s="7">
        <f t="shared" si="0"/>
        <v>38926</v>
      </c>
      <c r="Q2" s="7">
        <f t="shared" si="0"/>
        <v>38927</v>
      </c>
      <c r="R2" s="7">
        <f t="shared" si="0"/>
        <v>38928</v>
      </c>
      <c r="S2" s="7">
        <f t="shared" si="0"/>
        <v>38929</v>
      </c>
      <c r="T2" s="7">
        <f t="shared" si="0"/>
        <v>38930</v>
      </c>
      <c r="U2" s="7">
        <f t="shared" si="0"/>
        <v>38931</v>
      </c>
      <c r="V2" s="7"/>
    </row>
    <row r="3" spans="1:22" x14ac:dyDescent="0.25">
      <c r="A3">
        <v>1</v>
      </c>
      <c r="B3" s="7">
        <f>B2+32</f>
        <v>38944</v>
      </c>
      <c r="C3" s="7">
        <f t="shared" ref="C3:R5" si="1">B3+1</f>
        <v>38945</v>
      </c>
      <c r="D3" s="7">
        <f t="shared" si="1"/>
        <v>38946</v>
      </c>
      <c r="E3" s="7">
        <f t="shared" si="1"/>
        <v>38947</v>
      </c>
      <c r="F3" s="7">
        <f t="shared" si="1"/>
        <v>38948</v>
      </c>
      <c r="G3" s="7">
        <f t="shared" si="1"/>
        <v>38949</v>
      </c>
      <c r="H3" s="7">
        <f t="shared" si="1"/>
        <v>38950</v>
      </c>
      <c r="I3" s="7">
        <f t="shared" si="1"/>
        <v>38951</v>
      </c>
      <c r="J3" s="7">
        <f t="shared" si="1"/>
        <v>38952</v>
      </c>
      <c r="K3" s="7">
        <f t="shared" si="1"/>
        <v>38953</v>
      </c>
      <c r="L3" s="7">
        <f t="shared" si="1"/>
        <v>38954</v>
      </c>
      <c r="M3" s="7">
        <f t="shared" si="1"/>
        <v>38955</v>
      </c>
      <c r="N3" s="7">
        <f t="shared" si="1"/>
        <v>38956</v>
      </c>
      <c r="O3" s="7">
        <f t="shared" si="1"/>
        <v>38957</v>
      </c>
      <c r="P3" s="7">
        <f t="shared" si="1"/>
        <v>38958</v>
      </c>
      <c r="Q3" s="7">
        <f t="shared" si="1"/>
        <v>38959</v>
      </c>
      <c r="R3" s="7">
        <f t="shared" si="1"/>
        <v>38960</v>
      </c>
      <c r="S3" s="7">
        <f t="shared" si="0"/>
        <v>38961</v>
      </c>
      <c r="T3" s="7">
        <f t="shared" si="0"/>
        <v>38962</v>
      </c>
      <c r="U3" s="7">
        <f t="shared" si="0"/>
        <v>38963</v>
      </c>
    </row>
    <row r="4" spans="1:22" x14ac:dyDescent="0.25">
      <c r="A4">
        <v>2</v>
      </c>
      <c r="B4" s="7">
        <f>B3+32</f>
        <v>38976</v>
      </c>
      <c r="C4" s="7">
        <f t="shared" si="1"/>
        <v>38977</v>
      </c>
      <c r="D4" s="7">
        <f t="shared" si="0"/>
        <v>38978</v>
      </c>
      <c r="E4" s="7">
        <f t="shared" si="0"/>
        <v>38979</v>
      </c>
      <c r="F4" s="7">
        <f t="shared" si="0"/>
        <v>38980</v>
      </c>
      <c r="G4" s="7">
        <f t="shared" si="0"/>
        <v>38981</v>
      </c>
      <c r="H4" s="7">
        <f t="shared" si="0"/>
        <v>38982</v>
      </c>
      <c r="I4" s="7">
        <f t="shared" si="0"/>
        <v>38983</v>
      </c>
      <c r="J4" s="7">
        <f t="shared" si="0"/>
        <v>38984</v>
      </c>
      <c r="K4" s="7">
        <f t="shared" si="0"/>
        <v>38985</v>
      </c>
      <c r="L4" s="7">
        <f t="shared" si="0"/>
        <v>38986</v>
      </c>
      <c r="M4" s="7">
        <f t="shared" si="0"/>
        <v>38987</v>
      </c>
      <c r="N4" s="7">
        <f t="shared" si="0"/>
        <v>38988</v>
      </c>
      <c r="O4" s="7">
        <f t="shared" si="0"/>
        <v>38989</v>
      </c>
      <c r="P4" s="7">
        <f t="shared" si="0"/>
        <v>38990</v>
      </c>
      <c r="Q4" s="7">
        <f t="shared" si="0"/>
        <v>38991</v>
      </c>
      <c r="R4" s="7">
        <f t="shared" si="0"/>
        <v>38992</v>
      </c>
      <c r="S4" s="7">
        <f t="shared" si="0"/>
        <v>38993</v>
      </c>
      <c r="T4" s="7">
        <f t="shared" si="0"/>
        <v>38994</v>
      </c>
      <c r="U4" s="7">
        <f t="shared" si="0"/>
        <v>38995</v>
      </c>
    </row>
    <row r="5" spans="1:22" x14ac:dyDescent="0.25">
      <c r="A5">
        <v>3</v>
      </c>
      <c r="B5" s="7">
        <f t="shared" ref="B5:B21" si="2">B4+32</f>
        <v>39008</v>
      </c>
      <c r="C5" s="7">
        <f t="shared" si="1"/>
        <v>39009</v>
      </c>
      <c r="D5" s="7">
        <f t="shared" si="0"/>
        <v>39010</v>
      </c>
      <c r="E5" s="7">
        <f t="shared" si="0"/>
        <v>39011</v>
      </c>
      <c r="F5" s="7">
        <f t="shared" si="0"/>
        <v>39012</v>
      </c>
      <c r="G5" s="7">
        <f t="shared" si="0"/>
        <v>39013</v>
      </c>
      <c r="H5" s="7">
        <f t="shared" si="0"/>
        <v>39014</v>
      </c>
      <c r="I5" s="7">
        <f t="shared" si="0"/>
        <v>39015</v>
      </c>
      <c r="J5" s="7">
        <f t="shared" si="0"/>
        <v>39016</v>
      </c>
      <c r="K5" s="7">
        <f t="shared" si="0"/>
        <v>39017</v>
      </c>
      <c r="L5" s="7">
        <f t="shared" si="0"/>
        <v>39018</v>
      </c>
      <c r="M5" s="7">
        <f t="shared" si="0"/>
        <v>39019</v>
      </c>
      <c r="N5" s="7">
        <f t="shared" si="0"/>
        <v>39020</v>
      </c>
      <c r="O5" s="7">
        <f t="shared" si="0"/>
        <v>39021</v>
      </c>
      <c r="P5" s="7">
        <f t="shared" si="0"/>
        <v>39022</v>
      </c>
      <c r="Q5" s="7">
        <f t="shared" si="0"/>
        <v>39023</v>
      </c>
      <c r="R5" s="7">
        <f t="shared" si="0"/>
        <v>39024</v>
      </c>
      <c r="S5" s="7">
        <f t="shared" si="0"/>
        <v>39025</v>
      </c>
      <c r="T5" s="7">
        <f t="shared" si="0"/>
        <v>39026</v>
      </c>
      <c r="U5" s="7">
        <f t="shared" si="0"/>
        <v>39027</v>
      </c>
    </row>
    <row r="6" spans="1:22" x14ac:dyDescent="0.25">
      <c r="A6">
        <v>4</v>
      </c>
      <c r="B6" s="7">
        <f t="shared" si="2"/>
        <v>39040</v>
      </c>
      <c r="C6" s="7">
        <f t="shared" ref="C6:U6" si="3">B6+1</f>
        <v>39041</v>
      </c>
      <c r="D6" s="7">
        <f t="shared" si="3"/>
        <v>39042</v>
      </c>
      <c r="E6" s="7">
        <f t="shared" si="3"/>
        <v>39043</v>
      </c>
      <c r="F6" s="7">
        <f t="shared" si="3"/>
        <v>39044</v>
      </c>
      <c r="G6" s="7">
        <f t="shared" si="3"/>
        <v>39045</v>
      </c>
      <c r="H6" s="7">
        <f t="shared" si="3"/>
        <v>39046</v>
      </c>
      <c r="I6" s="7">
        <f t="shared" si="3"/>
        <v>39047</v>
      </c>
      <c r="J6" s="7">
        <f t="shared" si="3"/>
        <v>39048</v>
      </c>
      <c r="K6" s="7">
        <f t="shared" si="3"/>
        <v>39049</v>
      </c>
      <c r="L6" s="7">
        <f t="shared" si="3"/>
        <v>39050</v>
      </c>
      <c r="M6" s="7">
        <f t="shared" si="3"/>
        <v>39051</v>
      </c>
      <c r="N6" s="7">
        <f t="shared" si="3"/>
        <v>39052</v>
      </c>
      <c r="O6" s="7">
        <f t="shared" si="3"/>
        <v>39053</v>
      </c>
      <c r="P6" s="7">
        <f t="shared" si="3"/>
        <v>39054</v>
      </c>
      <c r="Q6" s="7">
        <f t="shared" si="3"/>
        <v>39055</v>
      </c>
      <c r="R6" s="7">
        <f t="shared" si="3"/>
        <v>39056</v>
      </c>
      <c r="S6" s="7">
        <f t="shared" si="3"/>
        <v>39057</v>
      </c>
      <c r="T6" s="7">
        <f t="shared" si="3"/>
        <v>39058</v>
      </c>
      <c r="U6" s="7">
        <f t="shared" si="3"/>
        <v>39059</v>
      </c>
    </row>
    <row r="7" spans="1:22" x14ac:dyDescent="0.25">
      <c r="A7">
        <v>5</v>
      </c>
      <c r="B7" s="7">
        <f t="shared" si="2"/>
        <v>39072</v>
      </c>
      <c r="C7" s="7">
        <f t="shared" ref="C7:U7" si="4">B7+1</f>
        <v>39073</v>
      </c>
      <c r="D7" s="7">
        <f t="shared" si="4"/>
        <v>39074</v>
      </c>
      <c r="E7" s="7">
        <f t="shared" si="4"/>
        <v>39075</v>
      </c>
      <c r="F7" s="7">
        <f t="shared" si="4"/>
        <v>39076</v>
      </c>
      <c r="G7" s="7">
        <f t="shared" si="4"/>
        <v>39077</v>
      </c>
      <c r="H7" s="7">
        <f t="shared" si="4"/>
        <v>39078</v>
      </c>
      <c r="I7" s="7">
        <f t="shared" si="4"/>
        <v>39079</v>
      </c>
      <c r="J7" s="7">
        <f t="shared" si="4"/>
        <v>39080</v>
      </c>
      <c r="K7" s="7">
        <f t="shared" si="4"/>
        <v>39081</v>
      </c>
      <c r="L7" s="7">
        <f t="shared" si="4"/>
        <v>39082</v>
      </c>
      <c r="M7" s="7">
        <f t="shared" si="4"/>
        <v>39083</v>
      </c>
      <c r="N7" s="7">
        <f t="shared" si="4"/>
        <v>39084</v>
      </c>
      <c r="O7" s="7">
        <f t="shared" si="4"/>
        <v>39085</v>
      </c>
      <c r="P7" s="7">
        <f t="shared" si="4"/>
        <v>39086</v>
      </c>
      <c r="Q7" s="7">
        <f t="shared" si="4"/>
        <v>39087</v>
      </c>
      <c r="R7" s="7">
        <f t="shared" si="4"/>
        <v>39088</v>
      </c>
      <c r="S7" s="7">
        <f t="shared" si="4"/>
        <v>39089</v>
      </c>
      <c r="T7" s="7">
        <f t="shared" si="4"/>
        <v>39090</v>
      </c>
      <c r="U7" s="7">
        <f t="shared" si="4"/>
        <v>39091</v>
      </c>
    </row>
    <row r="8" spans="1:22" x14ac:dyDescent="0.25">
      <c r="A8" s="7">
        <v>6</v>
      </c>
      <c r="B8" s="7">
        <f t="shared" si="2"/>
        <v>39104</v>
      </c>
      <c r="C8" s="7">
        <f t="shared" ref="C8:U8" si="5">B8+1</f>
        <v>39105</v>
      </c>
      <c r="D8" s="7">
        <f t="shared" si="5"/>
        <v>39106</v>
      </c>
      <c r="E8" s="7">
        <f t="shared" si="5"/>
        <v>39107</v>
      </c>
      <c r="F8" s="7">
        <f t="shared" si="5"/>
        <v>39108</v>
      </c>
      <c r="G8" s="7">
        <f t="shared" si="5"/>
        <v>39109</v>
      </c>
      <c r="H8" s="7">
        <f t="shared" si="5"/>
        <v>39110</v>
      </c>
      <c r="I8" s="7">
        <f t="shared" si="5"/>
        <v>39111</v>
      </c>
      <c r="J8" s="7">
        <f t="shared" si="5"/>
        <v>39112</v>
      </c>
      <c r="K8" s="7">
        <f t="shared" si="5"/>
        <v>39113</v>
      </c>
      <c r="L8" s="7">
        <f t="shared" si="5"/>
        <v>39114</v>
      </c>
      <c r="M8" s="7">
        <f t="shared" si="5"/>
        <v>39115</v>
      </c>
      <c r="N8" s="7">
        <f t="shared" si="5"/>
        <v>39116</v>
      </c>
      <c r="O8" s="7">
        <f t="shared" si="5"/>
        <v>39117</v>
      </c>
      <c r="P8" s="7">
        <f t="shared" si="5"/>
        <v>39118</v>
      </c>
      <c r="Q8" s="7">
        <f t="shared" si="5"/>
        <v>39119</v>
      </c>
      <c r="R8" s="7">
        <f t="shared" si="5"/>
        <v>39120</v>
      </c>
      <c r="S8" s="7">
        <f t="shared" si="5"/>
        <v>39121</v>
      </c>
      <c r="T8" s="7">
        <f t="shared" si="5"/>
        <v>39122</v>
      </c>
      <c r="U8" s="7">
        <f t="shared" si="5"/>
        <v>39123</v>
      </c>
    </row>
    <row r="9" spans="1:22" x14ac:dyDescent="0.25">
      <c r="A9" s="7">
        <v>7</v>
      </c>
      <c r="B9" s="7">
        <f t="shared" si="2"/>
        <v>39136</v>
      </c>
      <c r="C9" s="7">
        <f t="shared" ref="C9:U9" si="6">B9+1</f>
        <v>39137</v>
      </c>
      <c r="D9" s="7">
        <f t="shared" si="6"/>
        <v>39138</v>
      </c>
      <c r="E9" s="7">
        <f t="shared" si="6"/>
        <v>39139</v>
      </c>
      <c r="F9" s="7">
        <f t="shared" si="6"/>
        <v>39140</v>
      </c>
      <c r="G9" s="7">
        <f t="shared" si="6"/>
        <v>39141</v>
      </c>
      <c r="H9" s="7">
        <f t="shared" si="6"/>
        <v>39142</v>
      </c>
      <c r="I9" s="7">
        <f t="shared" si="6"/>
        <v>39143</v>
      </c>
      <c r="J9" s="7">
        <f t="shared" si="6"/>
        <v>39144</v>
      </c>
      <c r="K9" s="7">
        <f t="shared" si="6"/>
        <v>39145</v>
      </c>
      <c r="L9" s="7">
        <f t="shared" si="6"/>
        <v>39146</v>
      </c>
      <c r="M9" s="7">
        <f t="shared" si="6"/>
        <v>39147</v>
      </c>
      <c r="N9" s="7">
        <f t="shared" si="6"/>
        <v>39148</v>
      </c>
      <c r="O9" s="7">
        <f t="shared" si="6"/>
        <v>39149</v>
      </c>
      <c r="P9" s="7">
        <f t="shared" si="6"/>
        <v>39150</v>
      </c>
      <c r="Q9" s="7">
        <f t="shared" si="6"/>
        <v>39151</v>
      </c>
      <c r="R9" s="7">
        <f t="shared" si="6"/>
        <v>39152</v>
      </c>
      <c r="S9" s="7">
        <f t="shared" si="6"/>
        <v>39153</v>
      </c>
      <c r="T9" s="7">
        <f t="shared" si="6"/>
        <v>39154</v>
      </c>
      <c r="U9" s="7">
        <f t="shared" si="6"/>
        <v>39155</v>
      </c>
    </row>
    <row r="10" spans="1:22" x14ac:dyDescent="0.25">
      <c r="A10" s="7">
        <v>8</v>
      </c>
      <c r="B10" s="7">
        <f t="shared" si="2"/>
        <v>39168</v>
      </c>
      <c r="C10" s="7">
        <f t="shared" ref="C10:U10" si="7">B10+1</f>
        <v>39169</v>
      </c>
      <c r="D10" s="7">
        <f t="shared" si="7"/>
        <v>39170</v>
      </c>
      <c r="E10" s="7">
        <f t="shared" si="7"/>
        <v>39171</v>
      </c>
      <c r="F10" s="7">
        <f t="shared" si="7"/>
        <v>39172</v>
      </c>
      <c r="G10" s="7">
        <f t="shared" si="7"/>
        <v>39173</v>
      </c>
      <c r="H10" s="7">
        <f t="shared" si="7"/>
        <v>39174</v>
      </c>
      <c r="I10" s="7">
        <f t="shared" si="7"/>
        <v>39175</v>
      </c>
      <c r="J10" s="7">
        <f t="shared" si="7"/>
        <v>39176</v>
      </c>
      <c r="K10" s="7">
        <f t="shared" si="7"/>
        <v>39177</v>
      </c>
      <c r="L10" s="7">
        <f t="shared" si="7"/>
        <v>39178</v>
      </c>
      <c r="M10" s="7">
        <f t="shared" si="7"/>
        <v>39179</v>
      </c>
      <c r="N10" s="7">
        <f t="shared" si="7"/>
        <v>39180</v>
      </c>
      <c r="O10" s="7">
        <f t="shared" si="7"/>
        <v>39181</v>
      </c>
      <c r="P10" s="7">
        <f t="shared" si="7"/>
        <v>39182</v>
      </c>
      <c r="Q10" s="7">
        <f t="shared" si="7"/>
        <v>39183</v>
      </c>
      <c r="R10" s="7">
        <f t="shared" si="7"/>
        <v>39184</v>
      </c>
      <c r="S10" s="7">
        <f t="shared" si="7"/>
        <v>39185</v>
      </c>
      <c r="T10" s="7">
        <f t="shared" si="7"/>
        <v>39186</v>
      </c>
      <c r="U10" s="7">
        <f t="shared" si="7"/>
        <v>39187</v>
      </c>
    </row>
    <row r="11" spans="1:22" x14ac:dyDescent="0.25">
      <c r="A11" s="7">
        <v>9</v>
      </c>
      <c r="B11" s="7">
        <f t="shared" si="2"/>
        <v>39200</v>
      </c>
      <c r="C11" s="7">
        <f t="shared" ref="C11:U11" si="8">B11+1</f>
        <v>39201</v>
      </c>
      <c r="D11" s="7">
        <f t="shared" si="8"/>
        <v>39202</v>
      </c>
      <c r="E11" s="7">
        <f t="shared" si="8"/>
        <v>39203</v>
      </c>
      <c r="F11" s="7">
        <f t="shared" si="8"/>
        <v>39204</v>
      </c>
      <c r="G11" s="7">
        <f t="shared" si="8"/>
        <v>39205</v>
      </c>
      <c r="H11" s="7">
        <f t="shared" si="8"/>
        <v>39206</v>
      </c>
      <c r="I11" s="7">
        <f t="shared" si="8"/>
        <v>39207</v>
      </c>
      <c r="J11" s="7">
        <f t="shared" si="8"/>
        <v>39208</v>
      </c>
      <c r="K11" s="7">
        <f t="shared" si="8"/>
        <v>39209</v>
      </c>
      <c r="L11" s="7">
        <f t="shared" si="8"/>
        <v>39210</v>
      </c>
      <c r="M11" s="7">
        <f t="shared" si="8"/>
        <v>39211</v>
      </c>
      <c r="N11" s="7">
        <f t="shared" si="8"/>
        <v>39212</v>
      </c>
      <c r="O11" s="7">
        <f t="shared" si="8"/>
        <v>39213</v>
      </c>
      <c r="P11" s="7">
        <f t="shared" si="8"/>
        <v>39214</v>
      </c>
      <c r="Q11" s="7">
        <f t="shared" si="8"/>
        <v>39215</v>
      </c>
      <c r="R11" s="7">
        <f t="shared" si="8"/>
        <v>39216</v>
      </c>
      <c r="S11" s="7">
        <f t="shared" si="8"/>
        <v>39217</v>
      </c>
      <c r="T11" s="7">
        <f t="shared" si="8"/>
        <v>39218</v>
      </c>
      <c r="U11" s="7">
        <f t="shared" si="8"/>
        <v>39219</v>
      </c>
    </row>
    <row r="12" spans="1:22" x14ac:dyDescent="0.25">
      <c r="A12" s="7">
        <v>10</v>
      </c>
      <c r="B12" s="7">
        <f t="shared" si="2"/>
        <v>39232</v>
      </c>
      <c r="C12" s="7">
        <f t="shared" ref="C12:U12" si="9">B12+1</f>
        <v>39233</v>
      </c>
      <c r="D12" s="7">
        <f t="shared" si="9"/>
        <v>39234</v>
      </c>
      <c r="E12" s="7">
        <f t="shared" si="9"/>
        <v>39235</v>
      </c>
      <c r="F12" s="7">
        <f t="shared" si="9"/>
        <v>39236</v>
      </c>
      <c r="G12" s="7">
        <f t="shared" si="9"/>
        <v>39237</v>
      </c>
      <c r="H12" s="7">
        <f t="shared" si="9"/>
        <v>39238</v>
      </c>
      <c r="I12" s="7">
        <f t="shared" si="9"/>
        <v>39239</v>
      </c>
      <c r="J12" s="7">
        <f t="shared" si="9"/>
        <v>39240</v>
      </c>
      <c r="K12" s="7">
        <f t="shared" si="9"/>
        <v>39241</v>
      </c>
      <c r="L12" s="7">
        <f t="shared" si="9"/>
        <v>39242</v>
      </c>
      <c r="M12" s="7">
        <f t="shared" si="9"/>
        <v>39243</v>
      </c>
      <c r="N12" s="7">
        <f t="shared" si="9"/>
        <v>39244</v>
      </c>
      <c r="O12" s="7">
        <f t="shared" si="9"/>
        <v>39245</v>
      </c>
      <c r="P12" s="7">
        <f t="shared" si="9"/>
        <v>39246</v>
      </c>
      <c r="Q12" s="7">
        <f t="shared" si="9"/>
        <v>39247</v>
      </c>
      <c r="R12" s="7">
        <f t="shared" si="9"/>
        <v>39248</v>
      </c>
      <c r="S12" s="7">
        <f t="shared" si="9"/>
        <v>39249</v>
      </c>
      <c r="T12" s="7">
        <f t="shared" si="9"/>
        <v>39250</v>
      </c>
      <c r="U12" s="7">
        <f t="shared" si="9"/>
        <v>39251</v>
      </c>
    </row>
    <row r="13" spans="1:22" x14ac:dyDescent="0.25">
      <c r="A13" s="7">
        <v>11</v>
      </c>
      <c r="B13" s="7">
        <f t="shared" si="2"/>
        <v>39264</v>
      </c>
      <c r="C13" s="7">
        <f t="shared" ref="C13:U13" si="10">B13+1</f>
        <v>39265</v>
      </c>
      <c r="D13" s="7">
        <f t="shared" si="10"/>
        <v>39266</v>
      </c>
      <c r="E13" s="7">
        <f t="shared" si="10"/>
        <v>39267</v>
      </c>
      <c r="F13" s="7">
        <f t="shared" si="10"/>
        <v>39268</v>
      </c>
      <c r="G13" s="7">
        <f t="shared" si="10"/>
        <v>39269</v>
      </c>
      <c r="H13" s="7">
        <f t="shared" si="10"/>
        <v>39270</v>
      </c>
      <c r="I13" s="7">
        <f t="shared" si="10"/>
        <v>39271</v>
      </c>
      <c r="J13" s="7">
        <f t="shared" si="10"/>
        <v>39272</v>
      </c>
      <c r="K13" s="7">
        <f t="shared" si="10"/>
        <v>39273</v>
      </c>
      <c r="L13" s="7">
        <f t="shared" si="10"/>
        <v>39274</v>
      </c>
      <c r="M13" s="7">
        <f t="shared" si="10"/>
        <v>39275</v>
      </c>
      <c r="N13" s="7">
        <f t="shared" si="10"/>
        <v>39276</v>
      </c>
      <c r="O13" s="7">
        <f t="shared" si="10"/>
        <v>39277</v>
      </c>
      <c r="P13" s="7">
        <f t="shared" si="10"/>
        <v>39278</v>
      </c>
      <c r="Q13" s="7">
        <f t="shared" si="10"/>
        <v>39279</v>
      </c>
      <c r="R13" s="7">
        <f t="shared" si="10"/>
        <v>39280</v>
      </c>
      <c r="S13" s="7">
        <f t="shared" si="10"/>
        <v>39281</v>
      </c>
      <c r="T13" s="7">
        <f t="shared" si="10"/>
        <v>39282</v>
      </c>
      <c r="U13" s="7">
        <f t="shared" si="10"/>
        <v>39283</v>
      </c>
    </row>
    <row r="14" spans="1:22" x14ac:dyDescent="0.25">
      <c r="A14" s="7">
        <v>12</v>
      </c>
      <c r="B14" s="7">
        <f t="shared" si="2"/>
        <v>39296</v>
      </c>
      <c r="C14" s="7">
        <f t="shared" ref="C14:U14" si="11">B14+1</f>
        <v>39297</v>
      </c>
      <c r="D14" s="7">
        <f t="shared" si="11"/>
        <v>39298</v>
      </c>
      <c r="E14" s="7">
        <f t="shared" si="11"/>
        <v>39299</v>
      </c>
      <c r="F14" s="7">
        <f t="shared" si="11"/>
        <v>39300</v>
      </c>
      <c r="G14" s="7">
        <f t="shared" si="11"/>
        <v>39301</v>
      </c>
      <c r="H14" s="7">
        <f t="shared" si="11"/>
        <v>39302</v>
      </c>
      <c r="I14" s="7">
        <f t="shared" si="11"/>
        <v>39303</v>
      </c>
      <c r="J14" s="7">
        <f t="shared" si="11"/>
        <v>39304</v>
      </c>
      <c r="K14" s="7">
        <f t="shared" si="11"/>
        <v>39305</v>
      </c>
      <c r="L14" s="7">
        <f t="shared" si="11"/>
        <v>39306</v>
      </c>
      <c r="M14" s="7">
        <f t="shared" si="11"/>
        <v>39307</v>
      </c>
      <c r="N14" s="7">
        <f t="shared" si="11"/>
        <v>39308</v>
      </c>
      <c r="O14" s="7">
        <f t="shared" si="11"/>
        <v>39309</v>
      </c>
      <c r="P14" s="7">
        <f t="shared" si="11"/>
        <v>39310</v>
      </c>
      <c r="Q14" s="7">
        <f t="shared" si="11"/>
        <v>39311</v>
      </c>
      <c r="R14" s="7">
        <f t="shared" si="11"/>
        <v>39312</v>
      </c>
      <c r="S14" s="7">
        <f t="shared" si="11"/>
        <v>39313</v>
      </c>
      <c r="T14" s="7">
        <f t="shared" si="11"/>
        <v>39314</v>
      </c>
      <c r="U14" s="7">
        <f t="shared" si="11"/>
        <v>39315</v>
      </c>
    </row>
    <row r="15" spans="1:22" x14ac:dyDescent="0.25">
      <c r="A15" s="7">
        <v>13</v>
      </c>
      <c r="B15" s="7">
        <f t="shared" si="2"/>
        <v>39328</v>
      </c>
      <c r="C15" s="7">
        <f t="shared" ref="C15:U15" si="12">B15+1</f>
        <v>39329</v>
      </c>
      <c r="D15" s="7">
        <f t="shared" si="12"/>
        <v>39330</v>
      </c>
      <c r="E15" s="7">
        <f t="shared" si="12"/>
        <v>39331</v>
      </c>
      <c r="F15" s="7">
        <f t="shared" si="12"/>
        <v>39332</v>
      </c>
      <c r="G15" s="7">
        <f t="shared" si="12"/>
        <v>39333</v>
      </c>
      <c r="H15" s="7">
        <f t="shared" si="12"/>
        <v>39334</v>
      </c>
      <c r="I15" s="7">
        <f t="shared" si="12"/>
        <v>39335</v>
      </c>
      <c r="J15" s="7">
        <f t="shared" si="12"/>
        <v>39336</v>
      </c>
      <c r="K15" s="7">
        <f t="shared" si="12"/>
        <v>39337</v>
      </c>
      <c r="L15" s="7">
        <f t="shared" si="12"/>
        <v>39338</v>
      </c>
      <c r="M15" s="7">
        <f t="shared" si="12"/>
        <v>39339</v>
      </c>
      <c r="N15" s="7">
        <f t="shared" si="12"/>
        <v>39340</v>
      </c>
      <c r="O15" s="7">
        <f t="shared" si="12"/>
        <v>39341</v>
      </c>
      <c r="P15" s="7">
        <f t="shared" si="12"/>
        <v>39342</v>
      </c>
      <c r="Q15" s="7">
        <f t="shared" si="12"/>
        <v>39343</v>
      </c>
      <c r="R15" s="7">
        <f t="shared" si="12"/>
        <v>39344</v>
      </c>
      <c r="S15" s="7">
        <f t="shared" si="12"/>
        <v>39345</v>
      </c>
      <c r="T15" s="7">
        <f t="shared" si="12"/>
        <v>39346</v>
      </c>
      <c r="U15" s="7">
        <f t="shared" si="12"/>
        <v>39347</v>
      </c>
    </row>
    <row r="16" spans="1:22" x14ac:dyDescent="0.25">
      <c r="A16" s="7">
        <v>14</v>
      </c>
      <c r="B16" s="7">
        <f t="shared" si="2"/>
        <v>39360</v>
      </c>
      <c r="C16" s="7">
        <f t="shared" ref="C16:U16" si="13">B16+1</f>
        <v>39361</v>
      </c>
      <c r="D16" s="7">
        <f t="shared" si="13"/>
        <v>39362</v>
      </c>
      <c r="E16" s="7">
        <f t="shared" si="13"/>
        <v>39363</v>
      </c>
      <c r="F16" s="7">
        <f t="shared" si="13"/>
        <v>39364</v>
      </c>
      <c r="G16" s="7">
        <f t="shared" si="13"/>
        <v>39365</v>
      </c>
      <c r="H16" s="7">
        <f t="shared" si="13"/>
        <v>39366</v>
      </c>
      <c r="I16" s="7">
        <f t="shared" si="13"/>
        <v>39367</v>
      </c>
      <c r="J16" s="7">
        <f t="shared" si="13"/>
        <v>39368</v>
      </c>
      <c r="K16" s="7">
        <f t="shared" si="13"/>
        <v>39369</v>
      </c>
      <c r="L16" s="7">
        <f t="shared" si="13"/>
        <v>39370</v>
      </c>
      <c r="M16" s="7">
        <f t="shared" si="13"/>
        <v>39371</v>
      </c>
      <c r="N16" s="7">
        <f t="shared" si="13"/>
        <v>39372</v>
      </c>
      <c r="O16" s="7">
        <f t="shared" si="13"/>
        <v>39373</v>
      </c>
      <c r="P16" s="7">
        <f t="shared" si="13"/>
        <v>39374</v>
      </c>
      <c r="Q16" s="7">
        <f t="shared" si="13"/>
        <v>39375</v>
      </c>
      <c r="R16" s="7">
        <f t="shared" si="13"/>
        <v>39376</v>
      </c>
      <c r="S16" s="7">
        <f t="shared" si="13"/>
        <v>39377</v>
      </c>
      <c r="T16" s="7">
        <f t="shared" si="13"/>
        <v>39378</v>
      </c>
      <c r="U16" s="7">
        <f t="shared" si="13"/>
        <v>39379</v>
      </c>
    </row>
    <row r="17" spans="1:21" x14ac:dyDescent="0.25">
      <c r="A17" s="7">
        <v>15</v>
      </c>
      <c r="B17" s="7">
        <f t="shared" si="2"/>
        <v>39392</v>
      </c>
      <c r="C17" s="7">
        <f t="shared" ref="C17:U17" si="14">B17+1</f>
        <v>39393</v>
      </c>
      <c r="D17" s="7">
        <f t="shared" si="14"/>
        <v>39394</v>
      </c>
      <c r="E17" s="7">
        <f t="shared" si="14"/>
        <v>39395</v>
      </c>
      <c r="F17" s="7">
        <f t="shared" si="14"/>
        <v>39396</v>
      </c>
      <c r="G17" s="7">
        <f t="shared" si="14"/>
        <v>39397</v>
      </c>
      <c r="H17" s="7">
        <f t="shared" si="14"/>
        <v>39398</v>
      </c>
      <c r="I17" s="7">
        <f t="shared" si="14"/>
        <v>39399</v>
      </c>
      <c r="J17" s="7">
        <f t="shared" si="14"/>
        <v>39400</v>
      </c>
      <c r="K17" s="7">
        <f t="shared" si="14"/>
        <v>39401</v>
      </c>
      <c r="L17" s="7">
        <f t="shared" si="14"/>
        <v>39402</v>
      </c>
      <c r="M17" s="7">
        <f t="shared" si="14"/>
        <v>39403</v>
      </c>
      <c r="N17" s="7">
        <f t="shared" si="14"/>
        <v>39404</v>
      </c>
      <c r="O17" s="7">
        <f t="shared" si="14"/>
        <v>39405</v>
      </c>
      <c r="P17" s="7">
        <f t="shared" si="14"/>
        <v>39406</v>
      </c>
      <c r="Q17" s="7">
        <f t="shared" si="14"/>
        <v>39407</v>
      </c>
      <c r="R17" s="7">
        <f t="shared" si="14"/>
        <v>39408</v>
      </c>
      <c r="S17" s="7">
        <f t="shared" si="14"/>
        <v>39409</v>
      </c>
      <c r="T17" s="7">
        <f t="shared" si="14"/>
        <v>39410</v>
      </c>
      <c r="U17" s="7">
        <f t="shared" si="14"/>
        <v>39411</v>
      </c>
    </row>
    <row r="18" spans="1:21" x14ac:dyDescent="0.25">
      <c r="A18" s="7">
        <v>16</v>
      </c>
      <c r="B18" s="7">
        <f t="shared" si="2"/>
        <v>39424</v>
      </c>
      <c r="C18" s="7">
        <f t="shared" ref="C18:U18" si="15">B18+1</f>
        <v>39425</v>
      </c>
      <c r="D18" s="7">
        <f t="shared" si="15"/>
        <v>39426</v>
      </c>
      <c r="E18" s="7">
        <f t="shared" si="15"/>
        <v>39427</v>
      </c>
      <c r="F18" s="7">
        <f t="shared" si="15"/>
        <v>39428</v>
      </c>
      <c r="G18" s="7">
        <f t="shared" si="15"/>
        <v>39429</v>
      </c>
      <c r="H18" s="7">
        <f t="shared" si="15"/>
        <v>39430</v>
      </c>
      <c r="I18" s="7">
        <f t="shared" si="15"/>
        <v>39431</v>
      </c>
      <c r="J18" s="7">
        <f t="shared" si="15"/>
        <v>39432</v>
      </c>
      <c r="K18" s="7">
        <f t="shared" si="15"/>
        <v>39433</v>
      </c>
      <c r="L18" s="7">
        <f t="shared" si="15"/>
        <v>39434</v>
      </c>
      <c r="M18" s="7">
        <f t="shared" si="15"/>
        <v>39435</v>
      </c>
      <c r="N18" s="7">
        <f t="shared" si="15"/>
        <v>39436</v>
      </c>
      <c r="O18" s="7">
        <f t="shared" si="15"/>
        <v>39437</v>
      </c>
      <c r="P18" s="7">
        <f t="shared" si="15"/>
        <v>39438</v>
      </c>
      <c r="Q18" s="7">
        <f t="shared" si="15"/>
        <v>39439</v>
      </c>
      <c r="R18" s="7">
        <f t="shared" si="15"/>
        <v>39440</v>
      </c>
      <c r="S18" s="7">
        <f t="shared" si="15"/>
        <v>39441</v>
      </c>
      <c r="T18" s="7">
        <f t="shared" si="15"/>
        <v>39442</v>
      </c>
      <c r="U18" s="7">
        <f t="shared" si="15"/>
        <v>39443</v>
      </c>
    </row>
    <row r="19" spans="1:21" x14ac:dyDescent="0.25">
      <c r="A19" s="7">
        <v>17</v>
      </c>
      <c r="B19" s="7">
        <f t="shared" si="2"/>
        <v>39456</v>
      </c>
      <c r="C19" s="7">
        <f t="shared" ref="C19:U19" si="16">B19+1</f>
        <v>39457</v>
      </c>
      <c r="D19" s="7">
        <f t="shared" si="16"/>
        <v>39458</v>
      </c>
      <c r="E19" s="7">
        <f t="shared" si="16"/>
        <v>39459</v>
      </c>
      <c r="F19" s="7">
        <f t="shared" si="16"/>
        <v>39460</v>
      </c>
      <c r="G19" s="7">
        <f t="shared" si="16"/>
        <v>39461</v>
      </c>
      <c r="H19" s="7">
        <f t="shared" si="16"/>
        <v>39462</v>
      </c>
      <c r="I19" s="7">
        <f t="shared" si="16"/>
        <v>39463</v>
      </c>
      <c r="J19" s="7">
        <f t="shared" si="16"/>
        <v>39464</v>
      </c>
      <c r="K19" s="7">
        <f t="shared" si="16"/>
        <v>39465</v>
      </c>
      <c r="L19" s="7">
        <f t="shared" si="16"/>
        <v>39466</v>
      </c>
      <c r="M19" s="7">
        <f t="shared" si="16"/>
        <v>39467</v>
      </c>
      <c r="N19" s="7">
        <f t="shared" si="16"/>
        <v>39468</v>
      </c>
      <c r="O19" s="7">
        <f t="shared" si="16"/>
        <v>39469</v>
      </c>
      <c r="P19" s="7">
        <f t="shared" si="16"/>
        <v>39470</v>
      </c>
      <c r="Q19" s="7">
        <f t="shared" si="16"/>
        <v>39471</v>
      </c>
      <c r="R19" s="7">
        <f t="shared" si="16"/>
        <v>39472</v>
      </c>
      <c r="S19" s="7">
        <f t="shared" si="16"/>
        <v>39473</v>
      </c>
      <c r="T19" s="7">
        <f t="shared" si="16"/>
        <v>39474</v>
      </c>
      <c r="U19" s="7">
        <f t="shared" si="16"/>
        <v>39475</v>
      </c>
    </row>
    <row r="20" spans="1:21" x14ac:dyDescent="0.25">
      <c r="A20" s="7">
        <v>18</v>
      </c>
      <c r="B20" s="7">
        <f t="shared" si="2"/>
        <v>39488</v>
      </c>
      <c r="C20" s="7">
        <f t="shared" ref="C20:U20" si="17">B20+1</f>
        <v>39489</v>
      </c>
      <c r="D20" s="7">
        <f t="shared" si="17"/>
        <v>39490</v>
      </c>
      <c r="E20" s="7">
        <f t="shared" si="17"/>
        <v>39491</v>
      </c>
      <c r="F20" s="7">
        <f t="shared" si="17"/>
        <v>39492</v>
      </c>
      <c r="G20" s="7">
        <f t="shared" si="17"/>
        <v>39493</v>
      </c>
      <c r="H20" s="7">
        <f t="shared" si="17"/>
        <v>39494</v>
      </c>
      <c r="I20" s="7">
        <f t="shared" si="17"/>
        <v>39495</v>
      </c>
      <c r="J20" s="7">
        <f t="shared" si="17"/>
        <v>39496</v>
      </c>
      <c r="K20" s="7">
        <f t="shared" si="17"/>
        <v>39497</v>
      </c>
      <c r="L20" s="7">
        <f t="shared" si="17"/>
        <v>39498</v>
      </c>
      <c r="M20" s="7">
        <f t="shared" si="17"/>
        <v>39499</v>
      </c>
      <c r="N20" s="7">
        <f t="shared" si="17"/>
        <v>39500</v>
      </c>
      <c r="O20" s="7">
        <f t="shared" si="17"/>
        <v>39501</v>
      </c>
      <c r="P20" s="7">
        <f t="shared" si="17"/>
        <v>39502</v>
      </c>
      <c r="Q20" s="7">
        <f t="shared" si="17"/>
        <v>39503</v>
      </c>
      <c r="R20" s="7">
        <f t="shared" si="17"/>
        <v>39504</v>
      </c>
      <c r="S20" s="7">
        <f t="shared" si="17"/>
        <v>39505</v>
      </c>
      <c r="T20" s="7">
        <f t="shared" si="17"/>
        <v>39506</v>
      </c>
      <c r="U20" s="7">
        <f t="shared" si="17"/>
        <v>39507</v>
      </c>
    </row>
    <row r="21" spans="1:21" x14ac:dyDescent="0.25">
      <c r="A21" s="7">
        <v>19</v>
      </c>
      <c r="B21" s="7">
        <f t="shared" si="2"/>
        <v>39520</v>
      </c>
      <c r="C21" s="7">
        <f t="shared" ref="C21:U21" si="18">B21+1</f>
        <v>39521</v>
      </c>
      <c r="D21" s="7">
        <f t="shared" si="18"/>
        <v>39522</v>
      </c>
      <c r="E21" s="7">
        <f t="shared" si="18"/>
        <v>39523</v>
      </c>
      <c r="F21" s="7">
        <f t="shared" si="18"/>
        <v>39524</v>
      </c>
      <c r="G21" s="7">
        <f t="shared" si="18"/>
        <v>39525</v>
      </c>
      <c r="H21" s="7">
        <f t="shared" si="18"/>
        <v>39526</v>
      </c>
      <c r="I21" s="7">
        <f t="shared" si="18"/>
        <v>39527</v>
      </c>
      <c r="J21" s="7">
        <f t="shared" si="18"/>
        <v>39528</v>
      </c>
      <c r="K21" s="7">
        <f t="shared" si="18"/>
        <v>39529</v>
      </c>
      <c r="L21" s="7">
        <f t="shared" si="18"/>
        <v>39530</v>
      </c>
      <c r="M21" s="7">
        <f t="shared" si="18"/>
        <v>39531</v>
      </c>
      <c r="N21" s="7">
        <f t="shared" si="18"/>
        <v>39532</v>
      </c>
      <c r="O21" s="7">
        <f t="shared" si="18"/>
        <v>39533</v>
      </c>
      <c r="P21" s="7">
        <f t="shared" si="18"/>
        <v>39534</v>
      </c>
      <c r="Q21" s="7">
        <f t="shared" si="18"/>
        <v>39535</v>
      </c>
      <c r="R21" s="7">
        <f t="shared" si="18"/>
        <v>39536</v>
      </c>
      <c r="S21" s="7">
        <f t="shared" si="18"/>
        <v>39537</v>
      </c>
      <c r="T21" s="7">
        <f t="shared" si="18"/>
        <v>39538</v>
      </c>
      <c r="U21" s="7">
        <f t="shared" si="18"/>
        <v>39539</v>
      </c>
    </row>
    <row r="22" spans="1:21" x14ac:dyDescent="0.25">
      <c r="A22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Achievements</vt:lpstr>
      <vt:lpstr>Extras</vt:lpstr>
      <vt:lpstr>Leaderboards</vt:lpstr>
      <vt:lpstr>Levels</vt:lpstr>
      <vt:lpstr>Checklist</vt:lpstr>
      <vt:lpstr>Notes</vt:lpstr>
      <vt:lpstr>Text</vt:lpstr>
      <vt:lpstr>Stats</vt:lpstr>
      <vt:lpstr>Game Dec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egreavette@hotmail.com</dc:creator>
  <cp:lastModifiedBy>Terra</cp:lastModifiedBy>
  <dcterms:created xsi:type="dcterms:W3CDTF">2021-05-03T04:03:16Z</dcterms:created>
  <dcterms:modified xsi:type="dcterms:W3CDTF">2024-04-05T13:19:38Z</dcterms:modified>
</cp:coreProperties>
</file>